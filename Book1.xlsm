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Sneha\Downloads\"/>
    </mc:Choice>
  </mc:AlternateContent>
  <xr:revisionPtr revIDLastSave="0" documentId="13_ncr:1_{9CEDF59F-1E6A-4FDF-B557-68CAF79A372D}" xr6:coauthVersionLast="47" xr6:coauthVersionMax="47" xr10:uidLastSave="{00000000-0000-0000-0000-000000000000}"/>
  <bookViews>
    <workbookView xWindow="-108" yWindow="-108" windowWidth="23256" windowHeight="12456" activeTab="4" xr2:uid="{A2CB2DC1-0591-40FC-9805-3E6F7B00A8F1}"/>
  </bookViews>
  <sheets>
    <sheet name="Ques 6" sheetId="1" r:id="rId1"/>
    <sheet name="Ques 7" sheetId="2" r:id="rId2"/>
    <sheet name="Ques 8" sheetId="3" r:id="rId3"/>
    <sheet name="Ques 9" sheetId="4" r:id="rId4"/>
    <sheet name="Ques 10" sheetId="5" r:id="rId5"/>
  </sheets>
  <definedNames>
    <definedName name="Slicer_Months__Date">#N/A</definedName>
    <definedName name="Slicer_Severity">#N/A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0" i="5" l="1"/>
  <c r="Q21" i="5"/>
  <c r="Q19" i="5"/>
  <c r="R12" i="5"/>
  <c r="R13" i="5"/>
  <c r="R14" i="5"/>
  <c r="R11" i="5"/>
  <c r="Q13" i="5"/>
  <c r="Q14" i="5"/>
  <c r="Q12" i="5"/>
  <c r="Q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4" i="5"/>
  <c r="M15" i="5"/>
  <c r="M13" i="5"/>
  <c r="M12" i="5"/>
  <c r="M11"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3" i="5"/>
  <c r="L14" i="5"/>
  <c r="L15" i="5"/>
  <c r="L16" i="5"/>
  <c r="L17" i="5"/>
  <c r="L18" i="5"/>
  <c r="L19" i="5"/>
  <c r="L20" i="5"/>
  <c r="L21" i="5"/>
  <c r="L22" i="5"/>
  <c r="L23" i="5"/>
  <c r="L24" i="5"/>
  <c r="L25" i="5"/>
  <c r="L26" i="5"/>
  <c r="L27" i="5"/>
  <c r="L28" i="5"/>
  <c r="L12" i="5"/>
  <c r="L11" i="5"/>
  <c r="O4" i="4"/>
  <c r="F4" i="1"/>
  <c r="C4" i="1" s="1"/>
  <c r="E5" i="1" l="1"/>
  <c r="E4" i="1"/>
  <c r="E11" i="1"/>
  <c r="E10" i="1"/>
  <c r="E9" i="1"/>
  <c r="E8" i="1"/>
  <c r="E7" i="1"/>
  <c r="E6" i="1"/>
  <c r="D5" i="1"/>
  <c r="D8" i="1"/>
  <c r="D11" i="1"/>
  <c r="D10" i="1"/>
  <c r="D9" i="1"/>
  <c r="D7" i="1"/>
  <c r="D6" i="1"/>
  <c r="D4" i="1"/>
  <c r="C11" i="1"/>
  <c r="C10" i="1"/>
  <c r="C9" i="1"/>
  <c r="C8" i="1"/>
  <c r="C7" i="1"/>
  <c r="C6" i="1"/>
  <c r="C5"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FD2D2DF-49F7-4AB6-BAB9-BCC333B5B240}" sourceFile="C:\Users\Sneha\Downloads\Road_Accident_Dataset (Ques 7).xlsx" keepAlive="1" name="Road_Accident_Dataset (Ques 7)" type="5" refreshedVersion="8" background="1">
    <dbPr connection="Provider=Microsoft.ACE.OLEDB.12.0;User ID=Admin;Data Source=C:\Users\Sneha\Downloads\Road_Accident_Dataset (Ques 7).xlsx;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Road_Accident_Dataset_100_Rows$" commandType="3"/>
  </connection>
</connections>
</file>

<file path=xl/sharedStrings.xml><?xml version="1.0" encoding="utf-8"?>
<sst xmlns="http://schemas.openxmlformats.org/spreadsheetml/2006/main" count="1142" uniqueCount="357">
  <si>
    <t>Question 6 : Create a dataset of 8 employees with joining dates. Use the dummy dataset to calculate their experience in years and months.</t>
  </si>
  <si>
    <t>Employee Name</t>
  </si>
  <si>
    <t>Joining Date</t>
  </si>
  <si>
    <t>Experience(Yr)</t>
  </si>
  <si>
    <t>Experience(Months)</t>
  </si>
  <si>
    <t>Experience(Yrs &amp; Months)</t>
  </si>
  <si>
    <t>Aardhya Gurav</t>
  </si>
  <si>
    <t>Antra Patil</t>
  </si>
  <si>
    <t>Manthan Kumbhar</t>
  </si>
  <si>
    <t>Kshrisha Patil</t>
  </si>
  <si>
    <t>Adhriraj Chougale</t>
  </si>
  <si>
    <t>Aarav Desai</t>
  </si>
  <si>
    <t>Joel Pathan</t>
  </si>
  <si>
    <t>Alia Bhatt</t>
  </si>
  <si>
    <t>Current Date</t>
  </si>
  <si>
    <t>Question 7 : You are provided with a dataset containing details of 100 road accidents.Design a Road Accident Analysis Dashboard using Pivot Tables and Slicers in Excel.</t>
  </si>
  <si>
    <t>Pivot Table 1 : Casualties by Location and Vehicles Type</t>
  </si>
  <si>
    <t>Row Labels</t>
  </si>
  <si>
    <t>Ahmedabad</t>
  </si>
  <si>
    <t>Bangalore</t>
  </si>
  <si>
    <t>Delhi</t>
  </si>
  <si>
    <t>Hyderabad</t>
  </si>
  <si>
    <t>Kolkata</t>
  </si>
  <si>
    <t>Mumbai</t>
  </si>
  <si>
    <t>Pune</t>
  </si>
  <si>
    <t>Grand Total</t>
  </si>
  <si>
    <t>Auto-Rickshaw</t>
  </si>
  <si>
    <t>Bicycle</t>
  </si>
  <si>
    <t>Bus</t>
  </si>
  <si>
    <t>Car</t>
  </si>
  <si>
    <t>Motorcycle</t>
  </si>
  <si>
    <t>Truck</t>
  </si>
  <si>
    <t>Sum of Casualties</t>
  </si>
  <si>
    <t>This gives a matrix of casualities by location and vehicle.</t>
  </si>
  <si>
    <t xml:space="preserve">Pivot table 2 : Casualties by Road Condition </t>
  </si>
  <si>
    <t>Damaged</t>
  </si>
  <si>
    <t>Dry</t>
  </si>
  <si>
    <t>Under Construction</t>
  </si>
  <si>
    <t>Wet</t>
  </si>
  <si>
    <t>Pivot Table 3 : Casualties by Month and Accident Type</t>
  </si>
  <si>
    <t>Animal Hit</t>
  </si>
  <si>
    <t>Collision</t>
  </si>
  <si>
    <t>Object Hit</t>
  </si>
  <si>
    <t>Overturn</t>
  </si>
  <si>
    <t>Pedestrian Hit</t>
  </si>
  <si>
    <t>Jan</t>
  </si>
  <si>
    <t>Feb</t>
  </si>
  <si>
    <t>Mar</t>
  </si>
  <si>
    <t>Apr</t>
  </si>
  <si>
    <t>May</t>
  </si>
  <si>
    <t>Jun</t>
  </si>
  <si>
    <t>Pivot Table 4 : Casualties by Weather Condition and Accident Type</t>
  </si>
  <si>
    <t>Clear</t>
  </si>
  <si>
    <t>Foggy</t>
  </si>
  <si>
    <t>Rainy</t>
  </si>
  <si>
    <t>Windy</t>
  </si>
  <si>
    <t>Bar Chart (Stacked Column)- Casualties by Location</t>
  </si>
  <si>
    <t>Line Chart - Casualties by Month</t>
  </si>
  <si>
    <t>Pie chart - Road condition</t>
  </si>
  <si>
    <t>3D Column Chart - Whether Condition</t>
  </si>
  <si>
    <t>Question 8 : Create a table of 10 products with stock levels. Use Macros to highlight: ● Low stock (less than 10 units) in red ● Overstock (more than 50 units) in green.</t>
  </si>
  <si>
    <t>Product ID</t>
  </si>
  <si>
    <t>Product Name</t>
  </si>
  <si>
    <t>Stock Level</t>
  </si>
  <si>
    <t>P001</t>
  </si>
  <si>
    <t>P002</t>
  </si>
  <si>
    <t>P003</t>
  </si>
  <si>
    <t>P004</t>
  </si>
  <si>
    <t>P005</t>
  </si>
  <si>
    <t>P006</t>
  </si>
  <si>
    <t>P007</t>
  </si>
  <si>
    <t>P008</t>
  </si>
  <si>
    <t>P009</t>
  </si>
  <si>
    <t>P010</t>
  </si>
  <si>
    <t>Paper</t>
  </si>
  <si>
    <t>Pens</t>
  </si>
  <si>
    <t>Markers</t>
  </si>
  <si>
    <t>Staplers</t>
  </si>
  <si>
    <t>Notebooks</t>
  </si>
  <si>
    <t>Glue</t>
  </si>
  <si>
    <t>Sharperner</t>
  </si>
  <si>
    <t>Erasers</t>
  </si>
  <si>
    <t>Sketch Pens</t>
  </si>
  <si>
    <t>Maps</t>
  </si>
  <si>
    <t>Question 9 : You are given a dataset : Create a drop-down list of product names in a separate cell using Data Validation, and write a formula in the adjacent cell so that when a product is selected from the drop-down, its corresponding price is automatically displayed.</t>
  </si>
  <si>
    <t>Order ID</t>
  </si>
  <si>
    <t>Date</t>
  </si>
  <si>
    <t>Customer Name</t>
  </si>
  <si>
    <t>Region</t>
  </si>
  <si>
    <t>Product Category</t>
  </si>
  <si>
    <t>Quantity</t>
  </si>
  <si>
    <t>Unit Price (?)</t>
  </si>
  <si>
    <t>Total Sales (?)</t>
  </si>
  <si>
    <t>Profit Margin (%)</t>
  </si>
  <si>
    <t>Customer Age</t>
  </si>
  <si>
    <t>Payment Mode</t>
  </si>
  <si>
    <t>Rahul Sharma</t>
  </si>
  <si>
    <t>North India</t>
  </si>
  <si>
    <t>Electronics</t>
  </si>
  <si>
    <t>Smartwatch</t>
  </si>
  <si>
    <t>Credit Card</t>
  </si>
  <si>
    <t>Amit Verma</t>
  </si>
  <si>
    <t>West India</t>
  </si>
  <si>
    <t>Home Decor</t>
  </si>
  <si>
    <t>Wall Clock</t>
  </si>
  <si>
    <t>COD</t>
  </si>
  <si>
    <t>Sneha Kapoor</t>
  </si>
  <si>
    <t>East India</t>
  </si>
  <si>
    <t>Bluetooth Speaker</t>
  </si>
  <si>
    <t>NetBanking</t>
  </si>
  <si>
    <t>Rajesh Kumar</t>
  </si>
  <si>
    <t>Fashion</t>
  </si>
  <si>
    <t>Jeans</t>
  </si>
  <si>
    <t>Priya Singh</t>
  </si>
  <si>
    <t>South India</t>
  </si>
  <si>
    <t>Laptop</t>
  </si>
  <si>
    <t>UPI</t>
  </si>
  <si>
    <t>Karan Malhotra</t>
  </si>
  <si>
    <t>Sofa Set</t>
  </si>
  <si>
    <t>Neha Gupta</t>
  </si>
  <si>
    <t>Dress</t>
  </si>
  <si>
    <t>Vikram Patel</t>
  </si>
  <si>
    <t>Smartphone</t>
  </si>
  <si>
    <t>Ayesha Kapoor</t>
  </si>
  <si>
    <t>Dining Table Set</t>
  </si>
  <si>
    <t>Amitabh Verma</t>
  </si>
  <si>
    <t>Leather Jacket</t>
  </si>
  <si>
    <t>Sneha Gupta</t>
  </si>
  <si>
    <t>Headphones</t>
  </si>
  <si>
    <t>Nikhil Kumar</t>
  </si>
  <si>
    <t>Floor Lamp</t>
  </si>
  <si>
    <t>Meera Sharma</t>
  </si>
  <si>
    <t>Sneakers</t>
  </si>
  <si>
    <t>Aditya Verma</t>
  </si>
  <si>
    <t>Gaming Console</t>
  </si>
  <si>
    <t>Rohan Malhotra</t>
  </si>
  <si>
    <t>Drone Camera</t>
  </si>
  <si>
    <t>Neha Kapoor</t>
  </si>
  <si>
    <t>TV</t>
  </si>
  <si>
    <t>Kunal Singh</t>
  </si>
  <si>
    <t>Smart Glasses</t>
  </si>
  <si>
    <t>Alisha Roy</t>
  </si>
  <si>
    <t>Recliner Sofa</t>
  </si>
  <si>
    <t>Tarun Mishra</t>
  </si>
  <si>
    <t>Washing Machine</t>
  </si>
  <si>
    <t>Pooja Nair</t>
  </si>
  <si>
    <t>Earbuds</t>
  </si>
  <si>
    <t>Manish Tiwari</t>
  </si>
  <si>
    <t>Formal Shirt</t>
  </si>
  <si>
    <t>Shreya Desai</t>
  </si>
  <si>
    <t>Coffee Table</t>
  </si>
  <si>
    <t>Kabir Joshi</t>
  </si>
  <si>
    <t>Air Conditioner</t>
  </si>
  <si>
    <t>Anita Yadav</t>
  </si>
  <si>
    <t>Running Shoes</t>
  </si>
  <si>
    <t>Vivek Chopra</t>
  </si>
  <si>
    <t>Tablet</t>
  </si>
  <si>
    <t>Simran Kaur</t>
  </si>
  <si>
    <t>Neckband</t>
  </si>
  <si>
    <t>Nitin Bansal</t>
  </si>
  <si>
    <t>Bookshelf</t>
  </si>
  <si>
    <t>Rekha Reddy</t>
  </si>
  <si>
    <t>Microwave</t>
  </si>
  <si>
    <t>Gautam Saxena</t>
  </si>
  <si>
    <t>Backpack</t>
  </si>
  <si>
    <t>Preeti Rawat</t>
  </si>
  <si>
    <t>Gaming Mouse</t>
  </si>
  <si>
    <t>Ashok Sharma</t>
  </si>
  <si>
    <t>Leather Wallet</t>
  </si>
  <si>
    <t>Divya Nair</t>
  </si>
  <si>
    <t>Ceiling Fan</t>
  </si>
  <si>
    <t>Kiran Kapoor</t>
  </si>
  <si>
    <t>Sports Watch</t>
  </si>
  <si>
    <t>Yash Malhotra</t>
  </si>
  <si>
    <t>Router</t>
  </si>
  <si>
    <t>Anurag Verma</t>
  </si>
  <si>
    <t>Smart Bulb</t>
  </si>
  <si>
    <t>Ritika Shah</t>
  </si>
  <si>
    <t>Office Chair</t>
  </si>
  <si>
    <t>Tanmay Goel</t>
  </si>
  <si>
    <t>Blender</t>
  </si>
  <si>
    <t>Varun Singh</t>
  </si>
  <si>
    <t>Perfume</t>
  </si>
  <si>
    <t>Payal Mehta</t>
  </si>
  <si>
    <t>Power Bank</t>
  </si>
  <si>
    <t>Snehal Desai</t>
  </si>
  <si>
    <t>LED Bulb</t>
  </si>
  <si>
    <t>Ajay Patel</t>
  </si>
  <si>
    <t>Gym Gloves</t>
  </si>
  <si>
    <t>Kritika Gupta</t>
  </si>
  <si>
    <t>Wall Art</t>
  </si>
  <si>
    <t>Dinesh Nair</t>
  </si>
  <si>
    <t>Printer</t>
  </si>
  <si>
    <t>Priyanka Rao</t>
  </si>
  <si>
    <t>Sunglasses</t>
  </si>
  <si>
    <t>Harsh Malhotra</t>
  </si>
  <si>
    <t>Speaker</t>
  </si>
  <si>
    <t>Lavanya Kapoor</t>
  </si>
  <si>
    <t>Trolley Bag</t>
  </si>
  <si>
    <t>Aniket Shah</t>
  </si>
  <si>
    <t>Curtains</t>
  </si>
  <si>
    <t>Niharika Joshi</t>
  </si>
  <si>
    <t>Induction Stove</t>
  </si>
  <si>
    <t>Ravi Sharma</t>
  </si>
  <si>
    <t>Travel Pillow</t>
  </si>
  <si>
    <t>GIVEN BELOW IS DROP-DOWN LIST :</t>
  </si>
  <si>
    <t xml:space="preserve">Question 10 : Case Scenario :- Dataset Link You are a data analyst working for a retail firm. You’ve received a sales dataset that includes customer transactions from various regions and product categories. Your job is to analyze this data, clean inconsistencies, extract insights, and build visual reports. </t>
  </si>
  <si>
    <t xml:space="preserve">Task : 1. Apply data validation in the Units Sold column to ensure only values between 1 and 20 are allowed. </t>
  </si>
  <si>
    <t xml:space="preserve">2. Highlight rows where Profit &gt; ₹5000 </t>
  </si>
  <si>
    <t>3. Highlight any phone number that is not exactly 10 digits</t>
  </si>
  <si>
    <t xml:space="preserve"> 4. Find the Revenue generated by each product and also label according to revenue generated as “High”, “Medium”, “Low”.</t>
  </si>
  <si>
    <t xml:space="preserve"> 5. Find the profit percentage up to two decimal places.</t>
  </si>
  <si>
    <t xml:space="preserve"> 6. Show Total Revenue and Total Profit by Region. </t>
  </si>
  <si>
    <t>7. Show Average Units Sold per Product Category.</t>
  </si>
  <si>
    <t>Customer ID</t>
  </si>
  <si>
    <t>Country</t>
  </si>
  <si>
    <t>State</t>
  </si>
  <si>
    <t>Phone Number</t>
  </si>
  <si>
    <t>Category</t>
  </si>
  <si>
    <t>Product</t>
  </si>
  <si>
    <t>Price</t>
  </si>
  <si>
    <t>Units Sold</t>
  </si>
  <si>
    <t>Profit</t>
  </si>
  <si>
    <t>Mode of Payment</t>
  </si>
  <si>
    <t>Revenue</t>
  </si>
  <si>
    <t>Revenue Label</t>
  </si>
  <si>
    <t>Profit %</t>
  </si>
  <si>
    <t>CUST1000</t>
  </si>
  <si>
    <t>West</t>
  </si>
  <si>
    <t>India</t>
  </si>
  <si>
    <t>Karnataka</t>
  </si>
  <si>
    <t>Clothing</t>
  </si>
  <si>
    <t>Shirt</t>
  </si>
  <si>
    <t>CUST1001</t>
  </si>
  <si>
    <t>Furniture</t>
  </si>
  <si>
    <t>Table</t>
  </si>
  <si>
    <t>Net Banking</t>
  </si>
  <si>
    <t>CUST1002</t>
  </si>
  <si>
    <t>South</t>
  </si>
  <si>
    <t>West Bengal</t>
  </si>
  <si>
    <t>T-shirt</t>
  </si>
  <si>
    <t>CUST1003</t>
  </si>
  <si>
    <t>Sofa</t>
  </si>
  <si>
    <t>Cash</t>
  </si>
  <si>
    <t>CUST1004</t>
  </si>
  <si>
    <t>CUST1005</t>
  </si>
  <si>
    <t>CUST1006</t>
  </si>
  <si>
    <t>East</t>
  </si>
  <si>
    <t>Tamil Nadu</t>
  </si>
  <si>
    <t>CUST1007</t>
  </si>
  <si>
    <t>Chair</t>
  </si>
  <si>
    <t>CUST1008</t>
  </si>
  <si>
    <t>Maharashtra</t>
  </si>
  <si>
    <t>CUST1009</t>
  </si>
  <si>
    <t>Gujarat</t>
  </si>
  <si>
    <t>CUST1010</t>
  </si>
  <si>
    <t>Rajasthan</t>
  </si>
  <si>
    <t>CUST1011</t>
  </si>
  <si>
    <t>CUST1012</t>
  </si>
  <si>
    <t>North</t>
  </si>
  <si>
    <t>CUST1013</t>
  </si>
  <si>
    <t>CUST1014</t>
  </si>
  <si>
    <t>CUST1015</t>
  </si>
  <si>
    <t>Monitor</t>
  </si>
  <si>
    <t>CUST1016</t>
  </si>
  <si>
    <t>Jacket</t>
  </si>
  <si>
    <t>Debit Card</t>
  </si>
  <si>
    <t>CUST1017</t>
  </si>
  <si>
    <t>Uttar Pradesh</t>
  </si>
  <si>
    <t>CUST1018</t>
  </si>
  <si>
    <t>CUST1019</t>
  </si>
  <si>
    <t>CUST1020</t>
  </si>
  <si>
    <t>CUST1021</t>
  </si>
  <si>
    <t>CUST1022</t>
  </si>
  <si>
    <t>CUST1023</t>
  </si>
  <si>
    <t>CUST1024</t>
  </si>
  <si>
    <t>CUST1025</t>
  </si>
  <si>
    <t>CUST1026</t>
  </si>
  <si>
    <t>CUST1027</t>
  </si>
  <si>
    <t>CUST1028</t>
  </si>
  <si>
    <t>CUST1029</t>
  </si>
  <si>
    <t>Cupboard</t>
  </si>
  <si>
    <t>CUST1030</t>
  </si>
  <si>
    <t>CUST1031</t>
  </si>
  <si>
    <t>CUST1032</t>
  </si>
  <si>
    <t>CUST1033</t>
  </si>
  <si>
    <t>CUST1034</t>
  </si>
  <si>
    <t>CUST1035</t>
  </si>
  <si>
    <t>CUST1036</t>
  </si>
  <si>
    <t>CUST1037</t>
  </si>
  <si>
    <t>CUST1038</t>
  </si>
  <si>
    <t>CUST1039</t>
  </si>
  <si>
    <t>CUST1040</t>
  </si>
  <si>
    <t>CUST1041</t>
  </si>
  <si>
    <t>CUST1042</t>
  </si>
  <si>
    <t>CUST1043</t>
  </si>
  <si>
    <t>CUST1044</t>
  </si>
  <si>
    <t>CUST1045</t>
  </si>
  <si>
    <t>CUST1046</t>
  </si>
  <si>
    <t>CUST1047</t>
  </si>
  <si>
    <t>CUST1048</t>
  </si>
  <si>
    <t>CUST1049</t>
  </si>
  <si>
    <t>CUST1050</t>
  </si>
  <si>
    <t>CUST1051</t>
  </si>
  <si>
    <t>CUST1052</t>
  </si>
  <si>
    <t>CUST1053</t>
  </si>
  <si>
    <t>CUST1054</t>
  </si>
  <si>
    <t>CUST1055</t>
  </si>
  <si>
    <t>CUST1056</t>
  </si>
  <si>
    <t>CUST1057</t>
  </si>
  <si>
    <t>CUST1058</t>
  </si>
  <si>
    <t>CUST1059</t>
  </si>
  <si>
    <t>CUST1060</t>
  </si>
  <si>
    <t>CUST1061</t>
  </si>
  <si>
    <t>CUST1062</t>
  </si>
  <si>
    <t>CUST1063</t>
  </si>
  <si>
    <t>CUST1064</t>
  </si>
  <si>
    <t>CUST1065</t>
  </si>
  <si>
    <t>CUST1066</t>
  </si>
  <si>
    <t>CUST1067</t>
  </si>
  <si>
    <t>CUST1068</t>
  </si>
  <si>
    <t>CUST1069</t>
  </si>
  <si>
    <t>CUST1070</t>
  </si>
  <si>
    <t>CUST1071</t>
  </si>
  <si>
    <t>CUST1072</t>
  </si>
  <si>
    <t>CUST1073</t>
  </si>
  <si>
    <t>CUST1074</t>
  </si>
  <si>
    <t>CUST1075</t>
  </si>
  <si>
    <t>CUST1076</t>
  </si>
  <si>
    <t>CUST1077</t>
  </si>
  <si>
    <t>CUST1078</t>
  </si>
  <si>
    <t>CUST1079</t>
  </si>
  <si>
    <t>CUST1080</t>
  </si>
  <si>
    <t>CUST1081</t>
  </si>
  <si>
    <t>CUST1082</t>
  </si>
  <si>
    <t>CUST1083</t>
  </si>
  <si>
    <t>CUST1084</t>
  </si>
  <si>
    <t>CUST1085</t>
  </si>
  <si>
    <t>CUST1086</t>
  </si>
  <si>
    <t>CUST1087</t>
  </si>
  <si>
    <t>CUST1088</t>
  </si>
  <si>
    <t>CUST1089</t>
  </si>
  <si>
    <t>CUST1090</t>
  </si>
  <si>
    <t>CUST1091</t>
  </si>
  <si>
    <t>CUST1092</t>
  </si>
  <si>
    <t>CUST1093</t>
  </si>
  <si>
    <t>CUST1094</t>
  </si>
  <si>
    <t>CUST1095</t>
  </si>
  <si>
    <t>CUST1096</t>
  </si>
  <si>
    <t>CUST1097</t>
  </si>
  <si>
    <t>CUST1098</t>
  </si>
  <si>
    <t>CUST1099</t>
  </si>
  <si>
    <t>Total Profit by Region</t>
  </si>
  <si>
    <t>Total Revenue by Region</t>
  </si>
  <si>
    <t>TASK 6 :</t>
  </si>
  <si>
    <t>TASK 7:</t>
  </si>
  <si>
    <t>Avg Units Sold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</si>
</sst>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b/>
      <sz val="11"/>
      <color theme="1"/>
      <name val="Aptos Narrow"/>
      <family val="2"/>
      <scheme val="minor"/>
    </font>
    <font>
      <sz val="8"/>
      <name val="Aptos Narrow"/>
      <family val="2"/>
      <scheme val="minor"/>
    </font>
    <font>
      <b/>
      <i/>
      <u/>
      <sz val="11"/>
      <color theme="1"/>
      <name val="Aptos Narrow"/>
      <family val="2"/>
      <scheme val="minor"/>
    </font>
    <font>
      <b/>
      <i/>
      <sz val="11"/>
      <color theme="1"/>
      <name val="Aptos Narrow"/>
      <family val="2"/>
      <scheme val="minor"/>
    </font>
  </fonts>
  <fills count="12">
    <fill>
      <patternFill patternType="none"/>
    </fill>
    <fill>
      <patternFill patternType="gray125"/>
    </fill>
    <fill>
      <patternFill patternType="solid">
        <fgColor rgb="FFFF0000"/>
        <bgColor indexed="64"/>
      </patternFill>
    </fill>
    <fill>
      <patternFill patternType="solid">
        <fgColor rgb="FF00B050"/>
        <bgColor indexed="64"/>
      </patternFill>
    </fill>
    <fill>
      <patternFill patternType="solid">
        <fgColor theme="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3" tint="0.89999084444715716"/>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4">
    <xf numFmtId="0" fontId="0" fillId="0" borderId="0" xfId="0"/>
    <xf numFmtId="0" fontId="1" fillId="0" borderId="1" xfId="0" applyFont="1" applyBorder="1"/>
    <xf numFmtId="0" fontId="0" fillId="0" borderId="1" xfId="0" applyBorder="1"/>
    <xf numFmtId="14" fontId="0" fillId="0" borderId="1" xfId="0" applyNumberFormat="1" applyBorder="1"/>
    <xf numFmtId="0" fontId="0" fillId="0" borderId="0" xfId="0" pivotButton="1"/>
    <xf numFmtId="0" fontId="0" fillId="0" borderId="0" xfId="0" applyAlignment="1">
      <alignment horizontal="left"/>
    </xf>
    <xf numFmtId="0" fontId="0" fillId="0" borderId="0" xfId="0" applyAlignment="1">
      <alignment horizontal="left" indent="1"/>
    </xf>
    <xf numFmtId="0" fontId="0" fillId="4" borderId="1" xfId="0" applyFill="1" applyBorder="1"/>
    <xf numFmtId="0" fontId="0" fillId="2" borderId="1" xfId="0" applyFill="1" applyBorder="1"/>
    <xf numFmtId="0" fontId="0" fillId="3" borderId="1" xfId="0" applyFill="1" applyBorder="1"/>
    <xf numFmtId="0" fontId="0" fillId="0" borderId="0" xfId="0"/>
    <xf numFmtId="0" fontId="3" fillId="5" borderId="2" xfId="0" applyFont="1" applyFill="1" applyBorder="1"/>
    <xf numFmtId="0" fontId="3" fillId="5" borderId="3" xfId="0" applyFont="1" applyFill="1" applyBorder="1"/>
    <xf numFmtId="0" fontId="3" fillId="5" borderId="4" xfId="0" applyFont="1" applyFill="1" applyBorder="1"/>
    <xf numFmtId="0" fontId="1" fillId="6" borderId="1" xfId="0" applyFont="1" applyFill="1" applyBorder="1"/>
    <xf numFmtId="0" fontId="0" fillId="7" borderId="1" xfId="0" applyFill="1" applyBorder="1"/>
    <xf numFmtId="0" fontId="1" fillId="8" borderId="1" xfId="0" applyFont="1" applyFill="1" applyBorder="1"/>
    <xf numFmtId="0" fontId="0" fillId="9" borderId="1" xfId="0" applyFill="1" applyBorder="1"/>
    <xf numFmtId="0" fontId="3" fillId="0" borderId="0" xfId="0" applyFont="1"/>
    <xf numFmtId="0" fontId="3" fillId="0" borderId="0" xfId="0" applyFont="1" applyFill="1" applyBorder="1"/>
    <xf numFmtId="0" fontId="1" fillId="10" borderId="1" xfId="0" applyFont="1" applyFill="1" applyBorder="1"/>
    <xf numFmtId="0" fontId="0" fillId="11" borderId="1" xfId="0" applyFill="1" applyBorder="1"/>
    <xf numFmtId="14" fontId="0" fillId="11" borderId="1" xfId="0" applyNumberFormat="1" applyFill="1" applyBorder="1"/>
    <xf numFmtId="0" fontId="4" fillId="0" borderId="0" xfId="0" applyFont="1"/>
  </cellXfs>
  <cellStyles count="1">
    <cellStyle name="Normal" xfId="0" builtinId="0"/>
  </cellStyles>
  <dxfs count="3">
    <dxf>
      <fill>
        <patternFill>
          <bgColor rgb="FFFFFF00"/>
        </patternFill>
      </fill>
    </dxf>
    <dxf>
      <font>
        <color rgb="FF9C0006"/>
      </font>
      <fill>
        <patternFill>
          <bgColor rgb="FFFFC7CE"/>
        </patternFill>
      </fill>
    </dxf>
    <dxf>
      <font>
        <color theme="1"/>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[Book1.xlsm]Ques 7!PivotTable1</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'Ques 7'!$B$6</c:f>
              <c:strCache>
                <c:ptCount val="1"/>
                <c:pt idx="0">
                  <c:v>Total</c:v>
                </c:pt>
              </c:strCache>
            </c:strRef>
          </c:tx>
          <c:spPr>
            <a:solidFill>
              <a:schemeClr val="accent2"/>
            </a:solidFill>
            <a:ln>
              <a:noFill/>
            </a:ln>
            <a:effectLst/>
          </c:spPr>
          <c:invertIfNegative val="0"/>
          <c:cat>
            <c:multiLvlStrRef>
              <c:f>'Ques 7'!$A$7:$A$30</c:f>
              <c:multiLvlStrCache>
                <c:ptCount val="16"/>
                <c:lvl>
                  <c:pt idx="0">
                    <c:v>Motorcycle</c:v>
                  </c:pt>
                  <c:pt idx="1">
                    <c:v>Auto-Rickshaw</c:v>
                  </c:pt>
                  <c:pt idx="2">
                    <c:v>Bicycle</c:v>
                  </c:pt>
                  <c:pt idx="3">
                    <c:v>Car</c:v>
                  </c:pt>
                  <c:pt idx="4">
                    <c:v>Bicycle</c:v>
                  </c:pt>
                  <c:pt idx="5">
                    <c:v>Car</c:v>
                  </c:pt>
                  <c:pt idx="6">
                    <c:v>Truck</c:v>
                  </c:pt>
                  <c:pt idx="7">
                    <c:v>Auto-Rickshaw</c:v>
                  </c:pt>
                  <c:pt idx="8">
                    <c:v>Bicycle</c:v>
                  </c:pt>
                  <c:pt idx="9">
                    <c:v>Bus</c:v>
                  </c:pt>
                  <c:pt idx="10">
                    <c:v>Car</c:v>
                  </c:pt>
                  <c:pt idx="11">
                    <c:v>Bicycle</c:v>
                  </c:pt>
                  <c:pt idx="12">
                    <c:v>Car</c:v>
                  </c:pt>
                  <c:pt idx="13">
                    <c:v>Truck</c:v>
                  </c:pt>
                  <c:pt idx="14">
                    <c:v>Auto-Rickshaw</c:v>
                  </c:pt>
                  <c:pt idx="15">
                    <c:v>Motorcycle</c:v>
                  </c:pt>
                </c:lvl>
                <c:lvl>
                  <c:pt idx="0">
                    <c:v>Ahmedabad</c:v>
                  </c:pt>
                  <c:pt idx="1">
                    <c:v>Bangalore</c:v>
                  </c:pt>
                  <c:pt idx="4">
                    <c:v>Delhi</c:v>
                  </c:pt>
                  <c:pt idx="7">
                    <c:v>Hyderabad</c:v>
                  </c:pt>
                  <c:pt idx="8">
                    <c:v>Kolkata</c:v>
                  </c:pt>
                  <c:pt idx="11">
                    <c:v>Mumbai</c:v>
                  </c:pt>
                  <c:pt idx="14">
                    <c:v>Pune</c:v>
                  </c:pt>
                </c:lvl>
              </c:multiLvlStrCache>
            </c:multiLvlStrRef>
          </c:cat>
          <c:val>
            <c:numRef>
              <c:f>'Ques 7'!$B$7:$B$30</c:f>
              <c:numCache>
                <c:formatCode>General</c:formatCode>
                <c:ptCount val="16"/>
                <c:pt idx="0">
                  <c:v>12</c:v>
                </c:pt>
                <c:pt idx="1">
                  <c:v>0</c:v>
                </c:pt>
                <c:pt idx="2">
                  <c:v>2</c:v>
                </c:pt>
                <c:pt idx="3">
                  <c:v>5</c:v>
                </c:pt>
                <c:pt idx="4">
                  <c:v>5</c:v>
                </c:pt>
                <c:pt idx="5">
                  <c:v>0</c:v>
                </c:pt>
                <c:pt idx="6">
                  <c:v>3</c:v>
                </c:pt>
                <c:pt idx="7">
                  <c:v>4</c:v>
                </c:pt>
                <c:pt idx="8">
                  <c:v>4</c:v>
                </c:pt>
                <c:pt idx="9">
                  <c:v>4</c:v>
                </c:pt>
                <c:pt idx="10">
                  <c:v>5</c:v>
                </c:pt>
                <c:pt idx="11">
                  <c:v>3</c:v>
                </c:pt>
                <c:pt idx="12">
                  <c:v>5</c:v>
                </c:pt>
                <c:pt idx="13">
                  <c:v>3</c:v>
                </c:pt>
                <c:pt idx="14">
                  <c:v>0</c:v>
                </c:pt>
                <c:pt idx="15">
                  <c:v>2</c:v>
                </c:pt>
              </c:numCache>
            </c:numRef>
          </c:val>
          <c:extLst>
            <c:ext xmlns:c16="http://schemas.microsoft.com/office/drawing/2014/chart" uri="{C3380CC4-5D6E-409C-BE32-E72D297353CC}">
              <c16:uniqueId val="{00000000-654A-47A7-9CB6-3DFA46B97F44}"/>
            </c:ext>
          </c:extLst>
        </c:ser>
        <c:dLbls>
          <c:showLegendKey val="0"/>
          <c:showVal val="0"/>
          <c:showCatName val="0"/>
          <c:showSerName val="0"/>
          <c:showPercent val="0"/>
          <c:showBubbleSize val="0"/>
        </c:dLbls>
        <c:gapWidth val="150"/>
        <c:overlap val="100"/>
        <c:axId val="640980207"/>
        <c:axId val="640979727"/>
      </c:barChart>
      <c:catAx>
        <c:axId val="640980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979727"/>
        <c:crosses val="autoZero"/>
        <c:auto val="1"/>
        <c:lblAlgn val="ctr"/>
        <c:lblOffset val="100"/>
        <c:noMultiLvlLbl val="0"/>
      </c:catAx>
      <c:valAx>
        <c:axId val="6409797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9802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[Book1.xlsm]Ques 7!PivotTable4</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'Ques 7'!$B$53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'Ques 7'!$A$54:$A$88</c:f>
              <c:multiLvlStrCache>
                <c:ptCount val="29"/>
                <c:lvl>
                  <c:pt idx="0">
                    <c:v>Jan</c:v>
                  </c:pt>
                  <c:pt idx="1">
                    <c:v>Feb</c:v>
                  </c:pt>
                  <c:pt idx="2">
                    <c:v>Mar</c:v>
                  </c:pt>
                  <c:pt idx="3">
                    <c:v>Apr</c:v>
                  </c:pt>
                  <c:pt idx="4">
                    <c:v>May</c:v>
                  </c:pt>
                  <c:pt idx="5">
                    <c:v>Jun</c:v>
                  </c:pt>
                  <c:pt idx="6">
                    <c:v>Jan</c:v>
                  </c:pt>
                  <c:pt idx="7">
                    <c:v>Feb</c:v>
                  </c:pt>
                  <c:pt idx="8">
                    <c:v>Mar</c:v>
                  </c:pt>
                  <c:pt idx="9">
                    <c:v>Apr</c:v>
                  </c:pt>
                  <c:pt idx="10">
                    <c:v>May</c:v>
                  </c:pt>
                  <c:pt idx="11">
                    <c:v>Jun</c:v>
                  </c:pt>
                  <c:pt idx="12">
                    <c:v>Jan</c:v>
                  </c:pt>
                  <c:pt idx="13">
                    <c:v>Feb</c:v>
                  </c:pt>
                  <c:pt idx="14">
                    <c:v>Mar</c:v>
                  </c:pt>
                  <c:pt idx="15">
                    <c:v>Apr</c:v>
                  </c:pt>
                  <c:pt idx="16">
                    <c:v>May</c:v>
                  </c:pt>
                  <c:pt idx="17">
                    <c:v>Jun</c:v>
                  </c:pt>
                  <c:pt idx="18">
                    <c:v>Jan</c:v>
                  </c:pt>
                  <c:pt idx="19">
                    <c:v>Mar</c:v>
                  </c:pt>
                  <c:pt idx="20">
                    <c:v>Apr</c:v>
                  </c:pt>
                  <c:pt idx="21">
                    <c:v>May</c:v>
                  </c:pt>
                  <c:pt idx="22">
                    <c:v>Jun</c:v>
                  </c:pt>
                  <c:pt idx="23">
                    <c:v>Jan</c:v>
                  </c:pt>
                  <c:pt idx="24">
                    <c:v>Feb</c:v>
                  </c:pt>
                  <c:pt idx="25">
                    <c:v>Mar</c:v>
                  </c:pt>
                  <c:pt idx="26">
                    <c:v>Apr</c:v>
                  </c:pt>
                  <c:pt idx="27">
                    <c:v>May</c:v>
                  </c:pt>
                  <c:pt idx="28">
                    <c:v>Jun</c:v>
                  </c:pt>
                </c:lvl>
                <c:lvl>
                  <c:pt idx="0">
                    <c:v>Animal Hit</c:v>
                  </c:pt>
                  <c:pt idx="6">
                    <c:v>Collision</c:v>
                  </c:pt>
                  <c:pt idx="12">
                    <c:v>Object Hit</c:v>
                  </c:pt>
                  <c:pt idx="18">
                    <c:v>Overturn</c:v>
                  </c:pt>
                  <c:pt idx="23">
                    <c:v>Pedestrian Hit</c:v>
                  </c:pt>
                </c:lvl>
              </c:multiLvlStrCache>
            </c:multiLvlStrRef>
          </c:cat>
          <c:val>
            <c:numRef>
              <c:f>'Ques 7'!$B$54:$B$88</c:f>
              <c:numCache>
                <c:formatCode>General</c:formatCode>
                <c:ptCount val="29"/>
                <c:pt idx="0">
                  <c:v>18</c:v>
                </c:pt>
                <c:pt idx="1">
                  <c:v>14</c:v>
                </c:pt>
                <c:pt idx="2">
                  <c:v>9</c:v>
                </c:pt>
                <c:pt idx="3">
                  <c:v>7</c:v>
                </c:pt>
                <c:pt idx="4">
                  <c:v>9</c:v>
                </c:pt>
                <c:pt idx="5">
                  <c:v>10</c:v>
                </c:pt>
                <c:pt idx="6">
                  <c:v>15</c:v>
                </c:pt>
                <c:pt idx="7">
                  <c:v>9</c:v>
                </c:pt>
                <c:pt idx="8">
                  <c:v>21</c:v>
                </c:pt>
                <c:pt idx="9">
                  <c:v>5</c:v>
                </c:pt>
                <c:pt idx="10">
                  <c:v>2</c:v>
                </c:pt>
                <c:pt idx="11">
                  <c:v>4</c:v>
                </c:pt>
                <c:pt idx="12">
                  <c:v>5</c:v>
                </c:pt>
                <c:pt idx="13">
                  <c:v>2</c:v>
                </c:pt>
                <c:pt idx="14">
                  <c:v>2</c:v>
                </c:pt>
                <c:pt idx="15">
                  <c:v>3</c:v>
                </c:pt>
                <c:pt idx="16">
                  <c:v>10</c:v>
                </c:pt>
                <c:pt idx="17">
                  <c:v>10</c:v>
                </c:pt>
                <c:pt idx="18">
                  <c:v>14</c:v>
                </c:pt>
                <c:pt idx="19">
                  <c:v>21</c:v>
                </c:pt>
                <c:pt idx="20">
                  <c:v>3</c:v>
                </c:pt>
                <c:pt idx="21">
                  <c:v>23</c:v>
                </c:pt>
                <c:pt idx="22">
                  <c:v>8</c:v>
                </c:pt>
                <c:pt idx="23">
                  <c:v>5</c:v>
                </c:pt>
                <c:pt idx="24">
                  <c:v>2</c:v>
                </c:pt>
                <c:pt idx="25">
                  <c:v>3</c:v>
                </c:pt>
                <c:pt idx="26">
                  <c:v>9</c:v>
                </c:pt>
                <c:pt idx="27">
                  <c:v>2</c:v>
                </c:pt>
                <c:pt idx="28">
                  <c:v>7</c:v>
                </c:pt>
              </c:numCache>
            </c:numRef>
          </c:val>
          <c:smooth val="0"/>
          <c:extLst>
            <c:ext xmlns:c16="http://schemas.microsoft.com/office/drawing/2014/chart" uri="{C3380CC4-5D6E-409C-BE32-E72D297353CC}">
              <c16:uniqueId val="{00000000-201E-4974-98BD-6DDB02037D36}"/>
            </c:ext>
          </c:extLst>
        </c:ser>
        <c:dLbls>
          <c:showLegendKey val="0"/>
          <c:showVal val="0"/>
          <c:showCatName val="0"/>
          <c:showSerName val="0"/>
          <c:showPercent val="0"/>
          <c:showBubbleSize val="0"/>
        </c:dLbls>
        <c:marker val="1"/>
        <c:smooth val="0"/>
        <c:axId val="993391471"/>
        <c:axId val="993392911"/>
      </c:lineChart>
      <c:catAx>
        <c:axId val="993391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392911"/>
        <c:crosses val="autoZero"/>
        <c:auto val="1"/>
        <c:lblAlgn val="ctr"/>
        <c:lblOffset val="100"/>
        <c:noMultiLvlLbl val="0"/>
      </c:catAx>
      <c:valAx>
        <c:axId val="9933929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391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[Book1.xlsm]Ques 7!PivotTable3</c:name>
    <c:fmtId val="1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manualLayout>
          <c:layoutTarget val="inner"/>
          <c:xMode val="edge"/>
          <c:yMode val="edge"/>
          <c:x val="0.17494116360454942"/>
          <c:y val="0.17532188684747738"/>
          <c:w val="0.41147353455818025"/>
          <c:h val="0.68578922426363376"/>
        </c:manualLayout>
      </c:layout>
      <c:pieChart>
        <c:varyColors val="1"/>
        <c:ser>
          <c:idx val="0"/>
          <c:order val="0"/>
          <c:tx>
            <c:strRef>
              <c:f>'Ques 7'!$B$39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C3-40C8-B79E-5E96D4F42F7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C3-40C8-B79E-5E96D4F42F7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C3-40C8-B79E-5E96D4F42F7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C3-40C8-B79E-5E96D4F42F71}"/>
              </c:ext>
            </c:extLst>
          </c:dPt>
          <c:cat>
            <c:strRef>
              <c:f>'Ques 7'!$A$40:$A$44</c:f>
              <c:strCache>
                <c:ptCount val="4"/>
                <c:pt idx="0">
                  <c:v>Damaged</c:v>
                </c:pt>
                <c:pt idx="1">
                  <c:v>Dry</c:v>
                </c:pt>
                <c:pt idx="2">
                  <c:v>Under Construction</c:v>
                </c:pt>
                <c:pt idx="3">
                  <c:v>Wet</c:v>
                </c:pt>
              </c:strCache>
            </c:strRef>
          </c:cat>
          <c:val>
            <c:numRef>
              <c:f>'Ques 7'!$B$40:$B$44</c:f>
              <c:numCache>
                <c:formatCode>General</c:formatCode>
                <c:ptCount val="4"/>
                <c:pt idx="0">
                  <c:v>65</c:v>
                </c:pt>
                <c:pt idx="1">
                  <c:v>46</c:v>
                </c:pt>
                <c:pt idx="2">
                  <c:v>79</c:v>
                </c:pt>
                <c:pt idx="3">
                  <c:v>62</c:v>
                </c:pt>
              </c:numCache>
            </c:numRef>
          </c:val>
          <c:extLst>
            <c:ext xmlns:c16="http://schemas.microsoft.com/office/drawing/2014/chart" uri="{C3380CC4-5D6E-409C-BE32-E72D297353CC}">
              <c16:uniqueId val="{00000000-E6F6-4F82-B2F7-E7E67593039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[Book1.xlsm]Ques 7!PivotTable5</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'Ques 7'!$B$94</c:f>
              <c:strCache>
                <c:ptCount val="1"/>
                <c:pt idx="0">
                  <c:v>Total</c:v>
                </c:pt>
              </c:strCache>
            </c:strRef>
          </c:tx>
          <c:spPr>
            <a:solidFill>
              <a:schemeClr val="accent1"/>
            </a:solidFill>
            <a:ln>
              <a:noFill/>
            </a:ln>
            <a:effectLst/>
            <a:sp3d/>
          </c:spPr>
          <c:invertIfNegative val="0"/>
          <c:cat>
            <c:multiLvlStrRef>
              <c:f>'Ques 7'!$A$95:$A$119</c:f>
              <c:multiLvlStrCache>
                <c:ptCount val="20"/>
                <c:lvl>
                  <c:pt idx="0">
                    <c:v>Animal Hit</c:v>
                  </c:pt>
                  <c:pt idx="1">
                    <c:v>Collision</c:v>
                  </c:pt>
                  <c:pt idx="2">
                    <c:v>Object Hit</c:v>
                  </c:pt>
                  <c:pt idx="3">
                    <c:v>Overturn</c:v>
                  </c:pt>
                  <c:pt idx="4">
                    <c:v>Pedestrian Hit</c:v>
                  </c:pt>
                  <c:pt idx="5">
                    <c:v>Animal Hit</c:v>
                  </c:pt>
                  <c:pt idx="6">
                    <c:v>Collision</c:v>
                  </c:pt>
                  <c:pt idx="7">
                    <c:v>Object Hit</c:v>
                  </c:pt>
                  <c:pt idx="8">
                    <c:v>Overturn</c:v>
                  </c:pt>
                  <c:pt idx="9">
                    <c:v>Pedestrian Hit</c:v>
                  </c:pt>
                  <c:pt idx="10">
                    <c:v>Animal Hit</c:v>
                  </c:pt>
                  <c:pt idx="11">
                    <c:v>Collision</c:v>
                  </c:pt>
                  <c:pt idx="12">
                    <c:v>Object Hit</c:v>
                  </c:pt>
                  <c:pt idx="13">
                    <c:v>Overturn</c:v>
                  </c:pt>
                  <c:pt idx="14">
                    <c:v>Pedestrian Hit</c:v>
                  </c:pt>
                  <c:pt idx="15">
                    <c:v>Animal Hit</c:v>
                  </c:pt>
                  <c:pt idx="16">
                    <c:v>Collision</c:v>
                  </c:pt>
                  <c:pt idx="17">
                    <c:v>Object Hit</c:v>
                  </c:pt>
                  <c:pt idx="18">
                    <c:v>Overturn</c:v>
                  </c:pt>
                  <c:pt idx="19">
                    <c:v>Pedestrian Hit</c:v>
                  </c:pt>
                </c:lvl>
                <c:lvl>
                  <c:pt idx="0">
                    <c:v>Clear</c:v>
                  </c:pt>
                  <c:pt idx="5">
                    <c:v>Foggy</c:v>
                  </c:pt>
                  <c:pt idx="10">
                    <c:v>Rainy</c:v>
                  </c:pt>
                  <c:pt idx="15">
                    <c:v>Windy</c:v>
                  </c:pt>
                </c:lvl>
              </c:multiLvlStrCache>
            </c:multiLvlStrRef>
          </c:cat>
          <c:val>
            <c:numRef>
              <c:f>'Ques 7'!$B$95:$B$119</c:f>
              <c:numCache>
                <c:formatCode>General</c:formatCode>
                <c:ptCount val="20"/>
                <c:pt idx="0">
                  <c:v>20</c:v>
                </c:pt>
                <c:pt idx="1">
                  <c:v>25</c:v>
                </c:pt>
                <c:pt idx="2">
                  <c:v>9</c:v>
                </c:pt>
                <c:pt idx="3">
                  <c:v>14</c:v>
                </c:pt>
                <c:pt idx="4">
                  <c:v>3</c:v>
                </c:pt>
                <c:pt idx="5">
                  <c:v>16</c:v>
                </c:pt>
                <c:pt idx="6">
                  <c:v>13</c:v>
                </c:pt>
                <c:pt idx="7">
                  <c:v>4</c:v>
                </c:pt>
                <c:pt idx="8">
                  <c:v>20</c:v>
                </c:pt>
                <c:pt idx="9">
                  <c:v>12</c:v>
                </c:pt>
                <c:pt idx="10">
                  <c:v>15</c:v>
                </c:pt>
                <c:pt idx="11">
                  <c:v>9</c:v>
                </c:pt>
                <c:pt idx="12">
                  <c:v>9</c:v>
                </c:pt>
                <c:pt idx="13">
                  <c:v>17</c:v>
                </c:pt>
                <c:pt idx="14">
                  <c:v>7</c:v>
                </c:pt>
                <c:pt idx="15">
                  <c:v>16</c:v>
                </c:pt>
                <c:pt idx="16">
                  <c:v>9</c:v>
                </c:pt>
                <c:pt idx="17">
                  <c:v>10</c:v>
                </c:pt>
                <c:pt idx="18">
                  <c:v>18</c:v>
                </c:pt>
                <c:pt idx="19">
                  <c:v>6</c:v>
                </c:pt>
              </c:numCache>
            </c:numRef>
          </c:val>
          <c:extLst>
            <c:ext xmlns:c16="http://schemas.microsoft.com/office/drawing/2014/chart" uri="{C3380CC4-5D6E-409C-BE32-E72D297353CC}">
              <c16:uniqueId val="{00000000-688D-4F0E-A24D-8EDF9F5E9066}"/>
            </c:ext>
          </c:extLst>
        </c:ser>
        <c:dLbls>
          <c:showLegendKey val="0"/>
          <c:showVal val="0"/>
          <c:showCatName val="0"/>
          <c:showSerName val="0"/>
          <c:showPercent val="0"/>
          <c:showBubbleSize val="0"/>
        </c:dLbls>
        <c:gapWidth val="150"/>
        <c:shape val="box"/>
        <c:axId val="1154613135"/>
        <c:axId val="1154615535"/>
        <c:axId val="0"/>
      </c:bar3DChart>
      <c:catAx>
        <c:axId val="11546131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615535"/>
        <c:crosses val="autoZero"/>
        <c:auto val="1"/>
        <c:lblAlgn val="ctr"/>
        <c:lblOffset val="100"/>
        <c:noMultiLvlLbl val="0"/>
      </c:catAx>
      <c:valAx>
        <c:axId val="11546155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6131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60000"/>
        <a:lumOff val="40000"/>
      </a:schemeClr>
    </a:solidFill>
    <a:ln w="9525" cap="flat" cmpd="sng" algn="ctr">
      <a:solidFill>
        <a:srgbClr val="7030A0">
          <a:alpha val="90000"/>
        </a:srgb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11</xdr:col>
      <xdr:colOff>297180</xdr:colOff>
      <xdr:row>5</xdr:row>
      <xdr:rowOff>0</xdr:rowOff>
    </xdr:from>
    <xdr:to>
      <xdr:col>14</xdr:col>
      <xdr:colOff>297180</xdr:colOff>
      <xdr:row>19</xdr:row>
      <xdr:rowOff>20955</xdr:rowOff>
    </xdr:to>
    <mc:AlternateContent xmlns:mc="http://schemas.openxmlformats.org/markup-compatibility/2006" xmlns:a14="http://schemas.microsoft.com/office/drawing/2010/main">
      <mc:Choice Requires="a14">
        <xdr:graphicFrame macro="">
          <xdr:nvGraphicFramePr>
            <xdr:cNvPr id="9" name="Severity">
              <a:extLst>
                <a:ext uri="{FF2B5EF4-FFF2-40B4-BE49-F238E27FC236}">
                  <a16:creationId xmlns:a16="http://schemas.microsoft.com/office/drawing/2014/main" id="{1747CE1B-BB04-795D-F36A-F72F698367EF}"/>
                </a:ext>
              </a:extLst>
            </xdr:cNvPr>
            <xdr:cNvGraphicFramePr/>
          </xdr:nvGraphicFramePr>
          <xdr:xfrm>
            <a:off x="0" y="0"/>
            <a:ext cx="0" cy="0"/>
          </xdr:xfrm>
          <a:graphic>
            <a:graphicData uri="http://schemas.microsoft.com/office/drawing/2010/slicer">
              <sle:slicer xmlns:sle="http://schemas.microsoft.com/office/drawing/2010/slicer" name="Severity"/>
            </a:graphicData>
          </a:graphic>
        </xdr:graphicFrame>
      </mc:Choice>
      <mc:Fallback xmlns="">
        <xdr:sp macro="" textlink="">
          <xdr:nvSpPr>
            <xdr:cNvPr id="0" name=""/>
            <xdr:cNvSpPr>
              <a:spLocks noTextEdit="1"/>
            </xdr:cNvSpPr>
          </xdr:nvSpPr>
          <xdr:spPr>
            <a:xfrm>
              <a:off x="7978756" y="923636"/>
              <a:ext cx="1824182" cy="26071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243840</xdr:colOff>
      <xdr:row>4</xdr:row>
      <xdr:rowOff>167640</xdr:rowOff>
    </xdr:from>
    <xdr:to>
      <xdr:col>11</xdr:col>
      <xdr:colOff>243840</xdr:colOff>
      <xdr:row>19</xdr:row>
      <xdr:rowOff>5715</xdr:rowOff>
    </xdr:to>
    <mc:AlternateContent xmlns:mc="http://schemas.openxmlformats.org/markup-compatibility/2006" xmlns:a14="http://schemas.microsoft.com/office/drawing/2010/main">
      <mc:Choice Requires="a14">
        <xdr:graphicFrame macro="">
          <xdr:nvGraphicFramePr>
            <xdr:cNvPr id="8" name="Months (Date)">
              <a:extLst>
                <a:ext uri="{FF2B5EF4-FFF2-40B4-BE49-F238E27FC236}">
                  <a16:creationId xmlns:a16="http://schemas.microsoft.com/office/drawing/2014/main" id="{0FE40E8C-E0FA-DC59-D6AF-BD4E46BA792C}"/>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6101234" y="906549"/>
              <a:ext cx="1824182" cy="26089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68580</xdr:colOff>
      <xdr:row>4</xdr:row>
      <xdr:rowOff>171450</xdr:rowOff>
    </xdr:from>
    <xdr:to>
      <xdr:col>15</xdr:col>
      <xdr:colOff>0</xdr:colOff>
      <xdr:row>28</xdr:row>
      <xdr:rowOff>45720</xdr:rowOff>
    </xdr:to>
    <xdr:graphicFrame macro="">
      <xdr:nvGraphicFramePr>
        <xdr:cNvPr id="2" name="Chart 1">
          <a:extLst>
            <a:ext uri="{FF2B5EF4-FFF2-40B4-BE49-F238E27FC236}">
              <a16:creationId xmlns:a16="http://schemas.microsoft.com/office/drawing/2014/main" id="{E5CBA91C-D528-B0F6-341C-516694515E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307879</xdr:colOff>
      <xdr:row>52</xdr:row>
      <xdr:rowOff>49839</xdr:rowOff>
    </xdr:from>
    <xdr:to>
      <xdr:col>12</xdr:col>
      <xdr:colOff>528860</xdr:colOff>
      <xdr:row>73</xdr:row>
      <xdr:rowOff>152709</xdr:rowOff>
    </xdr:to>
    <xdr:graphicFrame macro="">
      <xdr:nvGraphicFramePr>
        <xdr:cNvPr id="5" name="Chart 4">
          <a:extLst>
            <a:ext uri="{FF2B5EF4-FFF2-40B4-BE49-F238E27FC236}">
              <a16:creationId xmlns:a16="http://schemas.microsoft.com/office/drawing/2014/main" id="{8EA8EFEF-C1AE-DED4-183B-3EBCD1112B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68580</xdr:colOff>
      <xdr:row>38</xdr:row>
      <xdr:rowOff>15241</xdr:rowOff>
    </xdr:from>
    <xdr:to>
      <xdr:col>12</xdr:col>
      <xdr:colOff>129540</xdr:colOff>
      <xdr:row>46</xdr:row>
      <xdr:rowOff>22860</xdr:rowOff>
    </xdr:to>
    <xdr:graphicFrame macro="">
      <xdr:nvGraphicFramePr>
        <xdr:cNvPr id="6" name="Chart 5">
          <a:extLst>
            <a:ext uri="{FF2B5EF4-FFF2-40B4-BE49-F238E27FC236}">
              <a16:creationId xmlns:a16="http://schemas.microsoft.com/office/drawing/2014/main" id="{C5AB230A-0619-420B-4C31-04B89CE78A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443191</xdr:colOff>
      <xdr:row>93</xdr:row>
      <xdr:rowOff>42295</xdr:rowOff>
    </xdr:from>
    <xdr:to>
      <xdr:col>13</xdr:col>
      <xdr:colOff>466051</xdr:colOff>
      <xdr:row>117</xdr:row>
      <xdr:rowOff>46104</xdr:rowOff>
    </xdr:to>
    <xdr:graphicFrame macro="">
      <xdr:nvGraphicFramePr>
        <xdr:cNvPr id="7" name="Chart 6">
          <a:extLst>
            <a:ext uri="{FF2B5EF4-FFF2-40B4-BE49-F238E27FC236}">
              <a16:creationId xmlns:a16="http://schemas.microsoft.com/office/drawing/2014/main" id="{E0F66092-25DA-A9D7-87A5-6E7F0FBABD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neha" refreshedDate="46026.767522685186" backgroundQuery="1" createdVersion="8" refreshedVersion="8" minRefreshableVersion="3" recordCount="100" xr:uid="{52CBD6DE-00C6-44B3-8F41-68FEEFC35706}">
  <cacheSource type="external" connectionId="1"/>
  <cacheFields count="12">
    <cacheField name="Accident ID" numFmtId="0">
      <sharedItems/>
    </cacheField>
    <cacheField name="Date" numFmtId="0">
      <sharedItems containsSemiMixedTypes="0" containsNonDate="0" containsDate="1" containsString="0" minDate="2024-01-01T00:00:00" maxDate="2024-06-27T00:00:00" count="81">
        <d v="2024-01-01T00:00:00"/>
        <d v="2024-03-29T00:00:00"/>
        <d v="2024-01-05T00:00:00"/>
        <d v="2024-06-02T00:00:00"/>
        <d v="2024-02-28T00:00:00"/>
        <d v="2024-04-17T00:00:00"/>
        <d v="2024-02-16T00:00:00"/>
        <d v="2024-03-18T00:00:00"/>
        <d v="2024-05-13T00:00:00"/>
        <d v="2024-01-16T00:00:00"/>
        <d v="2024-01-08T00:00:00"/>
        <d v="2024-06-25T00:00:00"/>
        <d v="2024-04-02T00:00:00"/>
        <d v="2024-03-27T00:00:00"/>
        <d v="2024-05-19T00:00:00"/>
        <d v="2024-03-03T00:00:00"/>
        <d v="2024-03-08T00:00:00"/>
        <d v="2024-06-26T00:00:00"/>
        <d v="2024-01-26T00:00:00"/>
        <d v="2024-02-05T00:00:00"/>
        <d v="2024-06-07T00:00:00"/>
        <d v="2024-02-24T00:00:00"/>
        <d v="2024-06-04T00:00:00"/>
        <d v="2024-05-30T00:00:00"/>
        <d v="2024-04-04T00:00:00"/>
        <d v="2024-05-10T00:00:00"/>
        <d v="2024-03-02T00:00:00"/>
        <d v="2024-04-16T00:00:00"/>
        <d v="2024-06-09T00:00:00"/>
        <d v="2024-02-25T00:00:00"/>
        <d v="2024-06-24T00:00:00"/>
        <d v="2024-04-21T00:00:00"/>
        <d v="2024-01-02T00:00:00"/>
        <d v="2024-05-24T00:00:00"/>
        <d v="2024-01-23T00:00:00"/>
        <d v="2024-04-26T00:00:00"/>
        <d v="2024-03-14T00:00:00"/>
        <d v="2024-01-10T00:00:00"/>
        <d v="2024-04-28T00:00:00"/>
        <d v="2024-03-19T00:00:00"/>
        <d v="2024-03-20T00:00:00"/>
        <d v="2024-05-05T00:00:00"/>
        <d v="2024-04-20T00:00:00"/>
        <d v="2024-06-23T00:00:00"/>
        <d v="2024-04-01T00:00:00"/>
        <d v="2024-01-20T00:00:00"/>
        <d v="2024-02-23T00:00:00"/>
        <d v="2024-05-21T00:00:00"/>
        <d v="2024-03-23T00:00:00"/>
        <d v="2024-03-16T00:00:00"/>
        <d v="2024-05-14T00:00:00"/>
        <d v="2024-05-11T00:00:00"/>
        <d v="2024-03-04T00:00:00"/>
        <d v="2024-06-10T00:00:00"/>
        <d v="2024-03-09T00:00:00"/>
        <d v="2024-02-15T00:00:00"/>
        <d v="2024-01-11T00:00:00"/>
        <d v="2024-05-18T00:00:00"/>
        <d v="2024-06-05T00:00:00"/>
        <d v="2024-03-01T00:00:00"/>
        <d v="2024-06-17T00:00:00"/>
        <d v="2024-05-25T00:00:00"/>
        <d v="2024-02-08T00:00:00"/>
        <d v="2024-03-31T00:00:00"/>
        <d v="2024-02-07T00:00:00"/>
        <d v="2024-03-24T00:00:00"/>
        <d v="2024-01-29T00:00:00"/>
        <d v="2024-04-22T00:00:00"/>
        <d v="2024-05-12T00:00:00"/>
        <d v="2024-01-28T00:00:00"/>
        <d v="2024-01-17T00:00:00"/>
        <d v="2024-06-14T00:00:00"/>
        <d v="2024-03-22T00:00:00"/>
        <d v="2024-01-03T00:00:00"/>
        <d v="2024-06-15T00:00:00"/>
        <d v="2024-04-07T00:00:00"/>
        <d v="2024-06-13T00:00:00"/>
        <d v="2024-02-20T00:00:00"/>
        <d v="2024-01-22T00:00:00"/>
        <d v="2024-04-08T00:00:00"/>
        <d v="2024-06-21T00:00:00"/>
      </sharedItems>
      <fieldGroup par="11"/>
    </cacheField>
    <cacheField name="Location" numFmtId="0">
      <sharedItems count="8">
        <s v="Hyderabad"/>
        <s v="Mumbai"/>
        <s v="Pune"/>
        <s v="Bangalore"/>
        <s v="Delhi"/>
        <s v="Ahmedabad"/>
        <s v="Chennai"/>
        <s v="Kolkata"/>
      </sharedItems>
    </cacheField>
    <cacheField name="Accident Type" numFmtId="0">
      <sharedItems count="5">
        <s v="Overturn"/>
        <s v="Collision"/>
        <s v="Animal Hit"/>
        <s v="Object Hit"/>
        <s v="Pedestrian Hit"/>
      </sharedItems>
    </cacheField>
    <cacheField name="Vehicle Type" numFmtId="0">
      <sharedItems count="6">
        <s v="Auto-Rickshaw"/>
        <s v="Bicycle"/>
        <s v="Truck"/>
        <s v="Car"/>
        <s v="Motorcycle"/>
        <s v="Bus"/>
      </sharedItems>
    </cacheField>
    <cacheField name="Weather Condition" numFmtId="0">
      <sharedItems count="4">
        <s v="Clear"/>
        <s v="Foggy"/>
        <s v="Windy"/>
        <s v="Rainy"/>
      </sharedItems>
    </cacheField>
    <cacheField name="Road Condition" numFmtId="0">
      <sharedItems count="4">
        <s v="Dry"/>
        <s v="Damaged"/>
        <s v="Under Construction"/>
        <s v="Wet"/>
      </sharedItems>
    </cacheField>
    <cacheField name="Severity" numFmtId="0">
      <sharedItems count="4">
        <s v="Moderate"/>
        <s v="Fatal"/>
        <s v="Minor"/>
        <s v="Severe"/>
      </sharedItems>
    </cacheField>
    <cacheField name="Cause" numFmtId="0">
      <sharedItems count="6">
        <s v="Overtaking"/>
        <s v="Distracted Driving"/>
        <s v="Brake Failure"/>
        <s v="Weather"/>
        <s v="Drunk Driving"/>
        <s v="Speeding"/>
      </sharedItems>
    </cacheField>
    <cacheField name="Casualties" numFmtId="0">
      <sharedItems containsSemiMixedTypes="0" containsString="0" containsNumber="1" containsInteger="1" minValue="0" maxValue="5" count="6">
        <n v="0"/>
        <n v="3"/>
        <n v="4"/>
        <n v="2"/>
        <n v="5"/>
        <n v="1"/>
      </sharedItems>
    </cacheField>
    <cacheField name="Days (Date)" numFmtId="0" databaseField="0">
      <fieldGroup base="1">
        <rangePr groupBy="days" startDate="2024-01-01T00:00:00" endDate="2024-06-27T00:00:00"/>
        <groupItems count="368">
          <s v="&lt;1/1/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27/6/2024"/>
        </groupItems>
      </fieldGroup>
    </cacheField>
    <cacheField name="Months (Date)" numFmtId="0" databaseField="0">
      <fieldGroup base="1">
        <rangePr groupBy="months" startDate="2024-01-01T00:00:00" endDate="2024-06-27T00:00:00"/>
        <groupItems count="14">
          <s v="&lt;1/1/2024"/>
          <s v="Jan"/>
          <s v="Feb"/>
          <s v="Mar"/>
          <s v="Apr"/>
          <s v="May"/>
          <s v="Jun"/>
          <s v="Jul"/>
          <s v="Aug"/>
          <s v="Sep"/>
          <s v="Oct"/>
          <s v="Nov"/>
          <s v="Dec"/>
          <s v="&gt;27/6/2024"/>
        </groupItems>
      </fieldGroup>
    </cacheField>
  </cacheFields>
  <extLst>
    <ext xmlns:x14="http://schemas.microsoft.com/office/spreadsheetml/2009/9/main" uri="{725AE2AE-9491-48be-B2B4-4EB974FC3084}">
      <x14:pivotCacheDefinition pivotCacheId="7559155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AID0001"/>
    <x v="0"/>
    <x v="0"/>
    <x v="0"/>
    <x v="0"/>
    <x v="0"/>
    <x v="0"/>
    <x v="0"/>
    <x v="0"/>
    <x v="0"/>
  </r>
  <r>
    <s v="AID0002"/>
    <x v="1"/>
    <x v="1"/>
    <x v="0"/>
    <x v="0"/>
    <x v="1"/>
    <x v="1"/>
    <x v="0"/>
    <x v="1"/>
    <x v="0"/>
  </r>
  <r>
    <s v="AID0003"/>
    <x v="2"/>
    <x v="1"/>
    <x v="0"/>
    <x v="1"/>
    <x v="2"/>
    <x v="2"/>
    <x v="1"/>
    <x v="0"/>
    <x v="1"/>
  </r>
  <r>
    <s v="AID0004"/>
    <x v="3"/>
    <x v="2"/>
    <x v="1"/>
    <x v="2"/>
    <x v="0"/>
    <x v="0"/>
    <x v="1"/>
    <x v="2"/>
    <x v="2"/>
  </r>
  <r>
    <s v="AID0005"/>
    <x v="4"/>
    <x v="3"/>
    <x v="2"/>
    <x v="0"/>
    <x v="0"/>
    <x v="1"/>
    <x v="0"/>
    <x v="3"/>
    <x v="0"/>
  </r>
  <r>
    <s v="AID0006"/>
    <x v="5"/>
    <x v="3"/>
    <x v="2"/>
    <x v="3"/>
    <x v="3"/>
    <x v="1"/>
    <x v="2"/>
    <x v="4"/>
    <x v="2"/>
  </r>
  <r>
    <s v="AID0007"/>
    <x v="6"/>
    <x v="4"/>
    <x v="2"/>
    <x v="3"/>
    <x v="3"/>
    <x v="0"/>
    <x v="2"/>
    <x v="5"/>
    <x v="3"/>
  </r>
  <r>
    <s v="AID0008"/>
    <x v="7"/>
    <x v="0"/>
    <x v="0"/>
    <x v="3"/>
    <x v="1"/>
    <x v="3"/>
    <x v="0"/>
    <x v="5"/>
    <x v="4"/>
  </r>
  <r>
    <s v="AID0009"/>
    <x v="8"/>
    <x v="1"/>
    <x v="1"/>
    <x v="3"/>
    <x v="2"/>
    <x v="2"/>
    <x v="2"/>
    <x v="3"/>
    <x v="3"/>
  </r>
  <r>
    <s v="AID0010"/>
    <x v="9"/>
    <x v="5"/>
    <x v="1"/>
    <x v="4"/>
    <x v="0"/>
    <x v="2"/>
    <x v="3"/>
    <x v="5"/>
    <x v="4"/>
  </r>
  <r>
    <s v="AID0011"/>
    <x v="10"/>
    <x v="2"/>
    <x v="3"/>
    <x v="0"/>
    <x v="0"/>
    <x v="1"/>
    <x v="1"/>
    <x v="0"/>
    <x v="0"/>
  </r>
  <r>
    <s v="AID0012"/>
    <x v="11"/>
    <x v="5"/>
    <x v="4"/>
    <x v="3"/>
    <x v="0"/>
    <x v="2"/>
    <x v="3"/>
    <x v="0"/>
    <x v="1"/>
  </r>
  <r>
    <s v="AID0013"/>
    <x v="1"/>
    <x v="3"/>
    <x v="4"/>
    <x v="1"/>
    <x v="3"/>
    <x v="3"/>
    <x v="3"/>
    <x v="5"/>
    <x v="5"/>
  </r>
  <r>
    <s v="AID0014"/>
    <x v="12"/>
    <x v="6"/>
    <x v="0"/>
    <x v="5"/>
    <x v="1"/>
    <x v="0"/>
    <x v="3"/>
    <x v="4"/>
    <x v="3"/>
  </r>
  <r>
    <s v="AID0015"/>
    <x v="13"/>
    <x v="6"/>
    <x v="4"/>
    <x v="4"/>
    <x v="1"/>
    <x v="2"/>
    <x v="0"/>
    <x v="2"/>
    <x v="5"/>
  </r>
  <r>
    <s v="AID0016"/>
    <x v="14"/>
    <x v="6"/>
    <x v="0"/>
    <x v="2"/>
    <x v="1"/>
    <x v="1"/>
    <x v="3"/>
    <x v="1"/>
    <x v="4"/>
  </r>
  <r>
    <s v="AID0017"/>
    <x v="15"/>
    <x v="0"/>
    <x v="1"/>
    <x v="4"/>
    <x v="2"/>
    <x v="2"/>
    <x v="0"/>
    <x v="1"/>
    <x v="2"/>
  </r>
  <r>
    <s v="AID0018"/>
    <x v="16"/>
    <x v="7"/>
    <x v="0"/>
    <x v="3"/>
    <x v="2"/>
    <x v="2"/>
    <x v="0"/>
    <x v="2"/>
    <x v="1"/>
  </r>
  <r>
    <s v="AID0019"/>
    <x v="17"/>
    <x v="4"/>
    <x v="0"/>
    <x v="4"/>
    <x v="3"/>
    <x v="3"/>
    <x v="3"/>
    <x v="4"/>
    <x v="2"/>
  </r>
  <r>
    <s v="AID0020"/>
    <x v="18"/>
    <x v="4"/>
    <x v="1"/>
    <x v="1"/>
    <x v="3"/>
    <x v="1"/>
    <x v="0"/>
    <x v="2"/>
    <x v="4"/>
  </r>
  <r>
    <s v="AID0021"/>
    <x v="19"/>
    <x v="2"/>
    <x v="2"/>
    <x v="4"/>
    <x v="2"/>
    <x v="1"/>
    <x v="2"/>
    <x v="1"/>
    <x v="4"/>
  </r>
  <r>
    <s v="AID0022"/>
    <x v="20"/>
    <x v="0"/>
    <x v="3"/>
    <x v="2"/>
    <x v="1"/>
    <x v="2"/>
    <x v="1"/>
    <x v="3"/>
    <x v="2"/>
  </r>
  <r>
    <s v="AID0023"/>
    <x v="13"/>
    <x v="6"/>
    <x v="1"/>
    <x v="1"/>
    <x v="3"/>
    <x v="2"/>
    <x v="3"/>
    <x v="3"/>
    <x v="2"/>
  </r>
  <r>
    <s v="AID0024"/>
    <x v="21"/>
    <x v="1"/>
    <x v="3"/>
    <x v="2"/>
    <x v="3"/>
    <x v="0"/>
    <x v="0"/>
    <x v="0"/>
    <x v="0"/>
  </r>
  <r>
    <s v="AID0025"/>
    <x v="22"/>
    <x v="4"/>
    <x v="2"/>
    <x v="4"/>
    <x v="3"/>
    <x v="1"/>
    <x v="1"/>
    <x v="4"/>
    <x v="5"/>
  </r>
  <r>
    <s v="AID0026"/>
    <x v="23"/>
    <x v="2"/>
    <x v="1"/>
    <x v="5"/>
    <x v="0"/>
    <x v="1"/>
    <x v="0"/>
    <x v="3"/>
    <x v="0"/>
  </r>
  <r>
    <s v="AID0027"/>
    <x v="24"/>
    <x v="0"/>
    <x v="4"/>
    <x v="3"/>
    <x v="2"/>
    <x v="3"/>
    <x v="1"/>
    <x v="0"/>
    <x v="0"/>
  </r>
  <r>
    <s v="AID0028"/>
    <x v="25"/>
    <x v="0"/>
    <x v="0"/>
    <x v="1"/>
    <x v="1"/>
    <x v="0"/>
    <x v="3"/>
    <x v="2"/>
    <x v="2"/>
  </r>
  <r>
    <s v="AID0029"/>
    <x v="26"/>
    <x v="6"/>
    <x v="2"/>
    <x v="0"/>
    <x v="3"/>
    <x v="1"/>
    <x v="3"/>
    <x v="3"/>
    <x v="2"/>
  </r>
  <r>
    <s v="AID0030"/>
    <x v="27"/>
    <x v="2"/>
    <x v="4"/>
    <x v="3"/>
    <x v="1"/>
    <x v="2"/>
    <x v="3"/>
    <x v="1"/>
    <x v="0"/>
  </r>
  <r>
    <s v="AID0031"/>
    <x v="28"/>
    <x v="7"/>
    <x v="3"/>
    <x v="4"/>
    <x v="3"/>
    <x v="3"/>
    <x v="3"/>
    <x v="0"/>
    <x v="4"/>
  </r>
  <r>
    <s v="AID0032"/>
    <x v="29"/>
    <x v="6"/>
    <x v="4"/>
    <x v="0"/>
    <x v="3"/>
    <x v="1"/>
    <x v="1"/>
    <x v="4"/>
    <x v="3"/>
  </r>
  <r>
    <s v="AID0033"/>
    <x v="30"/>
    <x v="2"/>
    <x v="3"/>
    <x v="0"/>
    <x v="2"/>
    <x v="1"/>
    <x v="1"/>
    <x v="1"/>
    <x v="5"/>
  </r>
  <r>
    <s v="AID0034"/>
    <x v="31"/>
    <x v="7"/>
    <x v="2"/>
    <x v="1"/>
    <x v="0"/>
    <x v="2"/>
    <x v="2"/>
    <x v="4"/>
    <x v="5"/>
  </r>
  <r>
    <s v="AID0035"/>
    <x v="32"/>
    <x v="1"/>
    <x v="0"/>
    <x v="2"/>
    <x v="0"/>
    <x v="3"/>
    <x v="3"/>
    <x v="5"/>
    <x v="1"/>
  </r>
  <r>
    <s v="AID0036"/>
    <x v="33"/>
    <x v="7"/>
    <x v="2"/>
    <x v="0"/>
    <x v="0"/>
    <x v="3"/>
    <x v="0"/>
    <x v="1"/>
    <x v="2"/>
  </r>
  <r>
    <s v="AID0037"/>
    <x v="18"/>
    <x v="5"/>
    <x v="3"/>
    <x v="4"/>
    <x v="0"/>
    <x v="2"/>
    <x v="2"/>
    <x v="0"/>
    <x v="4"/>
  </r>
  <r>
    <s v="AID0038"/>
    <x v="34"/>
    <x v="3"/>
    <x v="0"/>
    <x v="0"/>
    <x v="2"/>
    <x v="2"/>
    <x v="3"/>
    <x v="5"/>
    <x v="0"/>
  </r>
  <r>
    <s v="AID0039"/>
    <x v="35"/>
    <x v="2"/>
    <x v="2"/>
    <x v="3"/>
    <x v="1"/>
    <x v="2"/>
    <x v="1"/>
    <x v="5"/>
    <x v="3"/>
  </r>
  <r>
    <s v="AID0040"/>
    <x v="36"/>
    <x v="0"/>
    <x v="0"/>
    <x v="0"/>
    <x v="3"/>
    <x v="1"/>
    <x v="1"/>
    <x v="3"/>
    <x v="5"/>
  </r>
  <r>
    <s v="AID0041"/>
    <x v="37"/>
    <x v="0"/>
    <x v="2"/>
    <x v="0"/>
    <x v="0"/>
    <x v="3"/>
    <x v="2"/>
    <x v="2"/>
    <x v="2"/>
  </r>
  <r>
    <s v="AID0042"/>
    <x v="38"/>
    <x v="1"/>
    <x v="1"/>
    <x v="3"/>
    <x v="1"/>
    <x v="2"/>
    <x v="2"/>
    <x v="5"/>
    <x v="3"/>
  </r>
  <r>
    <s v="AID0043"/>
    <x v="34"/>
    <x v="3"/>
    <x v="0"/>
    <x v="1"/>
    <x v="2"/>
    <x v="2"/>
    <x v="2"/>
    <x v="2"/>
    <x v="3"/>
  </r>
  <r>
    <s v="AID0044"/>
    <x v="39"/>
    <x v="0"/>
    <x v="2"/>
    <x v="3"/>
    <x v="2"/>
    <x v="3"/>
    <x v="1"/>
    <x v="3"/>
    <x v="2"/>
  </r>
  <r>
    <s v="AID0045"/>
    <x v="40"/>
    <x v="0"/>
    <x v="0"/>
    <x v="5"/>
    <x v="0"/>
    <x v="3"/>
    <x v="3"/>
    <x v="2"/>
    <x v="1"/>
  </r>
  <r>
    <s v="AID0046"/>
    <x v="41"/>
    <x v="1"/>
    <x v="2"/>
    <x v="4"/>
    <x v="3"/>
    <x v="0"/>
    <x v="2"/>
    <x v="5"/>
    <x v="0"/>
  </r>
  <r>
    <s v="AID0047"/>
    <x v="42"/>
    <x v="0"/>
    <x v="0"/>
    <x v="3"/>
    <x v="1"/>
    <x v="0"/>
    <x v="3"/>
    <x v="0"/>
    <x v="5"/>
  </r>
  <r>
    <s v="AID0048"/>
    <x v="43"/>
    <x v="6"/>
    <x v="2"/>
    <x v="4"/>
    <x v="3"/>
    <x v="3"/>
    <x v="1"/>
    <x v="4"/>
    <x v="0"/>
  </r>
  <r>
    <s v="AID0049"/>
    <x v="7"/>
    <x v="7"/>
    <x v="1"/>
    <x v="4"/>
    <x v="0"/>
    <x v="0"/>
    <x v="0"/>
    <x v="3"/>
    <x v="4"/>
  </r>
  <r>
    <s v="AID0050"/>
    <x v="33"/>
    <x v="3"/>
    <x v="4"/>
    <x v="2"/>
    <x v="1"/>
    <x v="1"/>
    <x v="2"/>
    <x v="5"/>
    <x v="3"/>
  </r>
  <r>
    <s v="AID0051"/>
    <x v="44"/>
    <x v="5"/>
    <x v="1"/>
    <x v="1"/>
    <x v="2"/>
    <x v="0"/>
    <x v="0"/>
    <x v="4"/>
    <x v="0"/>
  </r>
  <r>
    <s v="AID0052"/>
    <x v="29"/>
    <x v="4"/>
    <x v="2"/>
    <x v="2"/>
    <x v="1"/>
    <x v="1"/>
    <x v="3"/>
    <x v="3"/>
    <x v="3"/>
  </r>
  <r>
    <s v="AID0053"/>
    <x v="45"/>
    <x v="7"/>
    <x v="4"/>
    <x v="3"/>
    <x v="2"/>
    <x v="2"/>
    <x v="0"/>
    <x v="4"/>
    <x v="1"/>
  </r>
  <r>
    <s v="AID0054"/>
    <x v="46"/>
    <x v="0"/>
    <x v="2"/>
    <x v="2"/>
    <x v="2"/>
    <x v="0"/>
    <x v="3"/>
    <x v="4"/>
    <x v="4"/>
  </r>
  <r>
    <s v="AID0055"/>
    <x v="47"/>
    <x v="0"/>
    <x v="0"/>
    <x v="0"/>
    <x v="0"/>
    <x v="1"/>
    <x v="0"/>
    <x v="2"/>
    <x v="2"/>
  </r>
  <r>
    <s v="AID0056"/>
    <x v="48"/>
    <x v="3"/>
    <x v="0"/>
    <x v="5"/>
    <x v="1"/>
    <x v="2"/>
    <x v="0"/>
    <x v="4"/>
    <x v="1"/>
  </r>
  <r>
    <s v="AID0057"/>
    <x v="47"/>
    <x v="3"/>
    <x v="0"/>
    <x v="5"/>
    <x v="2"/>
    <x v="2"/>
    <x v="2"/>
    <x v="5"/>
    <x v="4"/>
  </r>
  <r>
    <s v="AID0058"/>
    <x v="49"/>
    <x v="0"/>
    <x v="1"/>
    <x v="0"/>
    <x v="1"/>
    <x v="3"/>
    <x v="2"/>
    <x v="2"/>
    <x v="3"/>
  </r>
  <r>
    <s v="AID0059"/>
    <x v="18"/>
    <x v="1"/>
    <x v="1"/>
    <x v="3"/>
    <x v="1"/>
    <x v="2"/>
    <x v="1"/>
    <x v="5"/>
    <x v="2"/>
  </r>
  <r>
    <s v="AID0060"/>
    <x v="50"/>
    <x v="2"/>
    <x v="0"/>
    <x v="3"/>
    <x v="3"/>
    <x v="0"/>
    <x v="1"/>
    <x v="4"/>
    <x v="3"/>
  </r>
  <r>
    <s v="AID0061"/>
    <x v="51"/>
    <x v="0"/>
    <x v="2"/>
    <x v="1"/>
    <x v="1"/>
    <x v="2"/>
    <x v="1"/>
    <x v="2"/>
    <x v="4"/>
  </r>
  <r>
    <s v="AID0062"/>
    <x v="52"/>
    <x v="1"/>
    <x v="1"/>
    <x v="4"/>
    <x v="1"/>
    <x v="1"/>
    <x v="2"/>
    <x v="5"/>
    <x v="4"/>
  </r>
  <r>
    <s v="AID0063"/>
    <x v="53"/>
    <x v="6"/>
    <x v="2"/>
    <x v="0"/>
    <x v="0"/>
    <x v="2"/>
    <x v="3"/>
    <x v="2"/>
    <x v="5"/>
  </r>
  <r>
    <s v="AID0064"/>
    <x v="37"/>
    <x v="7"/>
    <x v="0"/>
    <x v="5"/>
    <x v="3"/>
    <x v="2"/>
    <x v="3"/>
    <x v="5"/>
    <x v="2"/>
  </r>
  <r>
    <s v="AID0065"/>
    <x v="54"/>
    <x v="2"/>
    <x v="4"/>
    <x v="0"/>
    <x v="2"/>
    <x v="0"/>
    <x v="2"/>
    <x v="1"/>
    <x v="5"/>
  </r>
  <r>
    <s v="AID0066"/>
    <x v="49"/>
    <x v="5"/>
    <x v="0"/>
    <x v="4"/>
    <x v="2"/>
    <x v="3"/>
    <x v="2"/>
    <x v="0"/>
    <x v="3"/>
  </r>
  <r>
    <s v="AID0067"/>
    <x v="55"/>
    <x v="3"/>
    <x v="1"/>
    <x v="1"/>
    <x v="0"/>
    <x v="3"/>
    <x v="1"/>
    <x v="5"/>
    <x v="5"/>
  </r>
  <r>
    <s v="AID0068"/>
    <x v="41"/>
    <x v="3"/>
    <x v="0"/>
    <x v="1"/>
    <x v="2"/>
    <x v="1"/>
    <x v="0"/>
    <x v="4"/>
    <x v="1"/>
  </r>
  <r>
    <s v="AID0069"/>
    <x v="35"/>
    <x v="1"/>
    <x v="2"/>
    <x v="4"/>
    <x v="3"/>
    <x v="2"/>
    <x v="0"/>
    <x v="0"/>
    <x v="0"/>
  </r>
  <r>
    <s v="AID0070"/>
    <x v="56"/>
    <x v="7"/>
    <x v="2"/>
    <x v="1"/>
    <x v="1"/>
    <x v="1"/>
    <x v="2"/>
    <x v="5"/>
    <x v="2"/>
  </r>
  <r>
    <s v="AID0071"/>
    <x v="57"/>
    <x v="6"/>
    <x v="3"/>
    <x v="3"/>
    <x v="0"/>
    <x v="0"/>
    <x v="2"/>
    <x v="0"/>
    <x v="3"/>
  </r>
  <r>
    <s v="AID0072"/>
    <x v="58"/>
    <x v="1"/>
    <x v="2"/>
    <x v="5"/>
    <x v="3"/>
    <x v="0"/>
    <x v="3"/>
    <x v="4"/>
    <x v="2"/>
  </r>
  <r>
    <s v="AID0073"/>
    <x v="59"/>
    <x v="3"/>
    <x v="2"/>
    <x v="4"/>
    <x v="2"/>
    <x v="0"/>
    <x v="2"/>
    <x v="3"/>
    <x v="5"/>
  </r>
  <r>
    <s v="AID0074"/>
    <x v="60"/>
    <x v="3"/>
    <x v="2"/>
    <x v="3"/>
    <x v="0"/>
    <x v="3"/>
    <x v="1"/>
    <x v="4"/>
    <x v="1"/>
  </r>
  <r>
    <s v="AID0075"/>
    <x v="5"/>
    <x v="7"/>
    <x v="4"/>
    <x v="5"/>
    <x v="3"/>
    <x v="1"/>
    <x v="0"/>
    <x v="1"/>
    <x v="2"/>
  </r>
  <r>
    <s v="AID0076"/>
    <x v="61"/>
    <x v="3"/>
    <x v="3"/>
    <x v="2"/>
    <x v="3"/>
    <x v="0"/>
    <x v="1"/>
    <x v="3"/>
    <x v="2"/>
  </r>
  <r>
    <s v="AID0077"/>
    <x v="62"/>
    <x v="6"/>
    <x v="3"/>
    <x v="2"/>
    <x v="0"/>
    <x v="2"/>
    <x v="2"/>
    <x v="2"/>
    <x v="3"/>
  </r>
  <r>
    <s v="AID0078"/>
    <x v="63"/>
    <x v="6"/>
    <x v="4"/>
    <x v="3"/>
    <x v="0"/>
    <x v="1"/>
    <x v="1"/>
    <x v="0"/>
    <x v="0"/>
  </r>
  <r>
    <s v="AID0079"/>
    <x v="64"/>
    <x v="1"/>
    <x v="1"/>
    <x v="5"/>
    <x v="0"/>
    <x v="3"/>
    <x v="2"/>
    <x v="0"/>
    <x v="4"/>
  </r>
  <r>
    <s v="AID0080"/>
    <x v="65"/>
    <x v="5"/>
    <x v="0"/>
    <x v="0"/>
    <x v="3"/>
    <x v="0"/>
    <x v="2"/>
    <x v="1"/>
    <x v="2"/>
  </r>
  <r>
    <s v="AID0081"/>
    <x v="66"/>
    <x v="4"/>
    <x v="1"/>
    <x v="3"/>
    <x v="0"/>
    <x v="0"/>
    <x v="3"/>
    <x v="1"/>
    <x v="0"/>
  </r>
  <r>
    <s v="AID0082"/>
    <x v="67"/>
    <x v="5"/>
    <x v="1"/>
    <x v="5"/>
    <x v="2"/>
    <x v="3"/>
    <x v="1"/>
    <x v="0"/>
    <x v="1"/>
  </r>
  <r>
    <s v="AID0083"/>
    <x v="68"/>
    <x v="1"/>
    <x v="3"/>
    <x v="4"/>
    <x v="2"/>
    <x v="1"/>
    <x v="0"/>
    <x v="3"/>
    <x v="2"/>
  </r>
  <r>
    <s v="AID0084"/>
    <x v="69"/>
    <x v="2"/>
    <x v="0"/>
    <x v="4"/>
    <x v="3"/>
    <x v="2"/>
    <x v="3"/>
    <x v="2"/>
    <x v="3"/>
  </r>
  <r>
    <s v="AID0085"/>
    <x v="70"/>
    <x v="4"/>
    <x v="2"/>
    <x v="2"/>
    <x v="1"/>
    <x v="3"/>
    <x v="3"/>
    <x v="5"/>
    <x v="1"/>
  </r>
  <r>
    <s v="AID0086"/>
    <x v="56"/>
    <x v="7"/>
    <x v="2"/>
    <x v="3"/>
    <x v="0"/>
    <x v="0"/>
    <x v="3"/>
    <x v="4"/>
    <x v="3"/>
  </r>
  <r>
    <s v="AID0087"/>
    <x v="71"/>
    <x v="5"/>
    <x v="2"/>
    <x v="4"/>
    <x v="2"/>
    <x v="3"/>
    <x v="0"/>
    <x v="2"/>
    <x v="5"/>
  </r>
  <r>
    <s v="AID0088"/>
    <x v="72"/>
    <x v="0"/>
    <x v="3"/>
    <x v="1"/>
    <x v="2"/>
    <x v="0"/>
    <x v="0"/>
    <x v="3"/>
    <x v="3"/>
  </r>
  <r>
    <s v="AID0089"/>
    <x v="3"/>
    <x v="6"/>
    <x v="3"/>
    <x v="0"/>
    <x v="1"/>
    <x v="0"/>
    <x v="2"/>
    <x v="5"/>
    <x v="0"/>
  </r>
  <r>
    <s v="AID0090"/>
    <x v="73"/>
    <x v="1"/>
    <x v="1"/>
    <x v="3"/>
    <x v="0"/>
    <x v="0"/>
    <x v="3"/>
    <x v="0"/>
    <x v="5"/>
  </r>
  <r>
    <s v="AID0091"/>
    <x v="74"/>
    <x v="7"/>
    <x v="4"/>
    <x v="0"/>
    <x v="1"/>
    <x v="2"/>
    <x v="1"/>
    <x v="5"/>
    <x v="2"/>
  </r>
  <r>
    <s v="AID0092"/>
    <x v="7"/>
    <x v="0"/>
    <x v="1"/>
    <x v="5"/>
    <x v="0"/>
    <x v="1"/>
    <x v="1"/>
    <x v="1"/>
    <x v="5"/>
  </r>
  <r>
    <s v="AID0093"/>
    <x v="75"/>
    <x v="2"/>
    <x v="4"/>
    <x v="4"/>
    <x v="1"/>
    <x v="3"/>
    <x v="3"/>
    <x v="1"/>
    <x v="4"/>
  </r>
  <r>
    <s v="AID0094"/>
    <x v="76"/>
    <x v="7"/>
    <x v="2"/>
    <x v="1"/>
    <x v="0"/>
    <x v="1"/>
    <x v="1"/>
    <x v="1"/>
    <x v="0"/>
  </r>
  <r>
    <s v="AID0095"/>
    <x v="77"/>
    <x v="1"/>
    <x v="1"/>
    <x v="1"/>
    <x v="0"/>
    <x v="1"/>
    <x v="2"/>
    <x v="4"/>
    <x v="1"/>
  </r>
  <r>
    <s v="AID0096"/>
    <x v="78"/>
    <x v="3"/>
    <x v="2"/>
    <x v="3"/>
    <x v="0"/>
    <x v="2"/>
    <x v="2"/>
    <x v="4"/>
    <x v="4"/>
  </r>
  <r>
    <s v="AID0097"/>
    <x v="31"/>
    <x v="4"/>
    <x v="3"/>
    <x v="2"/>
    <x v="2"/>
    <x v="1"/>
    <x v="1"/>
    <x v="4"/>
    <x v="1"/>
  </r>
  <r>
    <s v="AID0098"/>
    <x v="79"/>
    <x v="4"/>
    <x v="4"/>
    <x v="4"/>
    <x v="2"/>
    <x v="3"/>
    <x v="3"/>
    <x v="5"/>
    <x v="0"/>
  </r>
  <r>
    <s v="AID0099"/>
    <x v="80"/>
    <x v="7"/>
    <x v="0"/>
    <x v="0"/>
    <x v="0"/>
    <x v="3"/>
    <x v="2"/>
    <x v="4"/>
    <x v="2"/>
  </r>
  <r>
    <s v="AID0100"/>
    <x v="18"/>
    <x v="5"/>
    <x v="4"/>
    <x v="4"/>
    <x v="2"/>
    <x v="1"/>
    <x v="3"/>
    <x v="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D43D85-8236-4CD6-9811-5BD04434EBFB}"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fieldListSortAscending="1">
  <location ref="A94:B119" firstHeaderRow="1" firstDataRow="1" firstDataCol="1"/>
  <pivotFields count="12">
    <pivotField showAll="0"/>
    <pivotField showAll="0">
      <items count="82">
        <item x="0"/>
        <item x="32"/>
        <item x="73"/>
        <item x="2"/>
        <item x="10"/>
        <item x="37"/>
        <item x="56"/>
        <item x="9"/>
        <item x="70"/>
        <item x="45"/>
        <item x="78"/>
        <item x="34"/>
        <item x="18"/>
        <item x="69"/>
        <item x="66"/>
        <item x="19"/>
        <item x="64"/>
        <item x="62"/>
        <item x="55"/>
        <item x="6"/>
        <item x="77"/>
        <item x="46"/>
        <item x="21"/>
        <item x="29"/>
        <item x="4"/>
        <item x="59"/>
        <item x="26"/>
        <item x="15"/>
        <item x="52"/>
        <item x="16"/>
        <item x="54"/>
        <item x="36"/>
        <item x="49"/>
        <item x="7"/>
        <item x="39"/>
        <item x="40"/>
        <item x="72"/>
        <item x="48"/>
        <item x="65"/>
        <item x="13"/>
        <item x="1"/>
        <item x="63"/>
        <item x="44"/>
        <item x="12"/>
        <item x="24"/>
        <item x="75"/>
        <item x="79"/>
        <item x="27"/>
        <item x="5"/>
        <item x="42"/>
        <item x="31"/>
        <item x="67"/>
        <item x="35"/>
        <item x="38"/>
        <item x="41"/>
        <item x="25"/>
        <item x="51"/>
        <item x="68"/>
        <item x="8"/>
        <item x="50"/>
        <item x="57"/>
        <item x="14"/>
        <item x="47"/>
        <item x="33"/>
        <item x="61"/>
        <item x="23"/>
        <item x="3"/>
        <item x="22"/>
        <item x="58"/>
        <item x="20"/>
        <item x="28"/>
        <item x="53"/>
        <item x="76"/>
        <item x="71"/>
        <item x="74"/>
        <item x="60"/>
        <item x="80"/>
        <item x="43"/>
        <item x="30"/>
        <item x="11"/>
        <item x="17"/>
        <item t="default"/>
      </items>
    </pivotField>
    <pivotField showAll="0"/>
    <pivotField axis="axisRow" showAll="0">
      <items count="6">
        <item x="2"/>
        <item x="1"/>
        <item x="3"/>
        <item x="0"/>
        <item x="4"/>
        <item t="default"/>
      </items>
    </pivotField>
    <pivotField showAll="0"/>
    <pivotField axis="axisRow" showAll="0">
      <items count="5">
        <item x="0"/>
        <item x="1"/>
        <item x="3"/>
        <item x="2"/>
        <item t="default"/>
      </items>
    </pivotField>
    <pivotField showAll="0"/>
    <pivotField showAll="0"/>
    <pivotField showAll="0"/>
    <pivotField dataField="1" showAll="0"/>
    <pivotField showAll="0" defaultSubtotal="0"/>
    <pivotField showAll="0" defaultSubtotal="0">
      <items count="14">
        <item x="0"/>
        <item x="1"/>
        <item x="2"/>
        <item x="3"/>
        <item x="4"/>
        <item x="5"/>
        <item x="6"/>
        <item x="7"/>
        <item x="8"/>
        <item x="9"/>
        <item x="10"/>
        <item x="11"/>
        <item x="12"/>
        <item x="13"/>
      </items>
    </pivotField>
  </pivotFields>
  <rowFields count="2">
    <field x="5"/>
    <field x="3"/>
  </rowFields>
  <rowItems count="25">
    <i>
      <x/>
    </i>
    <i r="1">
      <x/>
    </i>
    <i r="1">
      <x v="1"/>
    </i>
    <i r="1">
      <x v="2"/>
    </i>
    <i r="1">
      <x v="3"/>
    </i>
    <i r="1">
      <x v="4"/>
    </i>
    <i>
      <x v="1"/>
    </i>
    <i r="1">
      <x/>
    </i>
    <i r="1">
      <x v="1"/>
    </i>
    <i r="1">
      <x v="2"/>
    </i>
    <i r="1">
      <x v="3"/>
    </i>
    <i r="1">
      <x v="4"/>
    </i>
    <i>
      <x v="2"/>
    </i>
    <i r="1">
      <x/>
    </i>
    <i r="1">
      <x v="1"/>
    </i>
    <i r="1">
      <x v="2"/>
    </i>
    <i r="1">
      <x v="3"/>
    </i>
    <i r="1">
      <x v="4"/>
    </i>
    <i>
      <x v="3"/>
    </i>
    <i r="1">
      <x/>
    </i>
    <i r="1">
      <x v="1"/>
    </i>
    <i r="1">
      <x v="2"/>
    </i>
    <i r="1">
      <x v="3"/>
    </i>
    <i r="1">
      <x v="4"/>
    </i>
    <i t="grand">
      <x/>
    </i>
  </rowItems>
  <colItems count="1">
    <i/>
  </colItems>
  <dataFields count="1">
    <dataField name="Sum of Casualties" fld="9" baseField="0" baseItem="0"/>
  </dataFields>
  <chartFormats count="1">
    <chartFormat chart="6"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ABC473-DCDF-4B64-8452-71FAAE6BFC77}"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fieldListSortAscending="1">
  <location ref="A53:B88" firstHeaderRow="1" firstDataRow="1" firstDataCol="1"/>
  <pivotFields count="12">
    <pivotField showAll="0"/>
    <pivotField axis="axisRow" showAll="0">
      <items count="82">
        <item x="0"/>
        <item x="32"/>
        <item x="73"/>
        <item x="2"/>
        <item x="10"/>
        <item x="37"/>
        <item x="56"/>
        <item x="9"/>
        <item x="70"/>
        <item x="45"/>
        <item x="78"/>
        <item x="34"/>
        <item x="18"/>
        <item x="69"/>
        <item x="66"/>
        <item x="19"/>
        <item x="64"/>
        <item x="62"/>
        <item x="55"/>
        <item x="6"/>
        <item x="77"/>
        <item x="46"/>
        <item x="21"/>
        <item x="29"/>
        <item x="4"/>
        <item x="59"/>
        <item x="26"/>
        <item x="15"/>
        <item x="52"/>
        <item x="16"/>
        <item x="54"/>
        <item x="36"/>
        <item x="49"/>
        <item x="7"/>
        <item x="39"/>
        <item x="40"/>
        <item x="72"/>
        <item x="48"/>
        <item x="65"/>
        <item x="13"/>
        <item x="1"/>
        <item x="63"/>
        <item x="44"/>
        <item x="12"/>
        <item x="24"/>
        <item x="75"/>
        <item x="79"/>
        <item x="27"/>
        <item x="5"/>
        <item x="42"/>
        <item x="31"/>
        <item x="67"/>
        <item x="35"/>
        <item x="38"/>
        <item x="41"/>
        <item x="25"/>
        <item x="51"/>
        <item x="68"/>
        <item x="8"/>
        <item x="50"/>
        <item x="57"/>
        <item x="14"/>
        <item x="47"/>
        <item x="33"/>
        <item x="61"/>
        <item x="23"/>
        <item x="3"/>
        <item x="22"/>
        <item x="58"/>
        <item x="20"/>
        <item x="28"/>
        <item x="53"/>
        <item x="76"/>
        <item x="71"/>
        <item x="74"/>
        <item x="60"/>
        <item x="80"/>
        <item x="43"/>
        <item x="30"/>
        <item x="11"/>
        <item x="17"/>
        <item t="default"/>
      </items>
    </pivotField>
    <pivotField showAll="0"/>
    <pivotField axis="axisRow" showAll="0">
      <items count="6">
        <item x="2"/>
        <item x="1"/>
        <item x="3"/>
        <item x="0"/>
        <item x="4"/>
        <item t="default"/>
      </items>
    </pivotField>
    <pivotField showAll="0"/>
    <pivotField showAll="0"/>
    <pivotField showAll="0"/>
    <pivotField showAll="0"/>
    <pivotField showAll="0"/>
    <pivotField dataField="1"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3"/>
    <field x="11"/>
    <field x="1"/>
  </rowFields>
  <rowItems count="35">
    <i>
      <x/>
    </i>
    <i r="1">
      <x v="1"/>
    </i>
    <i r="1">
      <x v="2"/>
    </i>
    <i r="1">
      <x v="3"/>
    </i>
    <i r="1">
      <x v="4"/>
    </i>
    <i r="1">
      <x v="5"/>
    </i>
    <i r="1">
      <x v="6"/>
    </i>
    <i>
      <x v="1"/>
    </i>
    <i r="1">
      <x v="1"/>
    </i>
    <i r="1">
      <x v="2"/>
    </i>
    <i r="1">
      <x v="3"/>
    </i>
    <i r="1">
      <x v="4"/>
    </i>
    <i r="1">
      <x v="5"/>
    </i>
    <i r="1">
      <x v="6"/>
    </i>
    <i>
      <x v="2"/>
    </i>
    <i r="1">
      <x v="1"/>
    </i>
    <i r="1">
      <x v="2"/>
    </i>
    <i r="1">
      <x v="3"/>
    </i>
    <i r="1">
      <x v="4"/>
    </i>
    <i r="1">
      <x v="5"/>
    </i>
    <i r="1">
      <x v="6"/>
    </i>
    <i>
      <x v="3"/>
    </i>
    <i r="1">
      <x v="1"/>
    </i>
    <i r="1">
      <x v="3"/>
    </i>
    <i r="1">
      <x v="4"/>
    </i>
    <i r="1">
      <x v="5"/>
    </i>
    <i r="1">
      <x v="6"/>
    </i>
    <i>
      <x v="4"/>
    </i>
    <i r="1">
      <x v="1"/>
    </i>
    <i r="1">
      <x v="2"/>
    </i>
    <i r="1">
      <x v="3"/>
    </i>
    <i r="1">
      <x v="4"/>
    </i>
    <i r="1">
      <x v="5"/>
    </i>
    <i r="1">
      <x v="6"/>
    </i>
    <i t="grand">
      <x/>
    </i>
  </rowItems>
  <colItems count="1">
    <i/>
  </colItems>
  <dataFields count="1">
    <dataField name="Sum of Casualties" fld="9"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C36E0C4-24EC-4490-826B-9B7E37878FE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fieldListSortAscending="1">
  <location ref="A39:B44" firstHeaderRow="1" firstDataRow="1" firstDataCol="1"/>
  <pivotFields count="12">
    <pivotField showAll="0"/>
    <pivotField showAll="0">
      <items count="82">
        <item x="0"/>
        <item x="32"/>
        <item x="73"/>
        <item x="2"/>
        <item x="10"/>
        <item x="37"/>
        <item x="56"/>
        <item x="9"/>
        <item x="70"/>
        <item x="45"/>
        <item x="78"/>
        <item x="34"/>
        <item x="18"/>
        <item x="69"/>
        <item x="66"/>
        <item x="19"/>
        <item x="64"/>
        <item x="62"/>
        <item x="55"/>
        <item x="6"/>
        <item x="77"/>
        <item x="46"/>
        <item x="21"/>
        <item x="29"/>
        <item x="4"/>
        <item x="59"/>
        <item x="26"/>
        <item x="15"/>
        <item x="52"/>
        <item x="16"/>
        <item x="54"/>
        <item x="36"/>
        <item x="49"/>
        <item x="7"/>
        <item x="39"/>
        <item x="40"/>
        <item x="72"/>
        <item x="48"/>
        <item x="65"/>
        <item x="13"/>
        <item x="1"/>
        <item x="63"/>
        <item x="44"/>
        <item x="12"/>
        <item x="24"/>
        <item x="75"/>
        <item x="79"/>
        <item x="27"/>
        <item x="5"/>
        <item x="42"/>
        <item x="31"/>
        <item x="67"/>
        <item x="35"/>
        <item x="38"/>
        <item x="41"/>
        <item x="25"/>
        <item x="51"/>
        <item x="68"/>
        <item x="8"/>
        <item x="50"/>
        <item x="57"/>
        <item x="14"/>
        <item x="47"/>
        <item x="33"/>
        <item x="61"/>
        <item x="23"/>
        <item x="3"/>
        <item x="22"/>
        <item x="58"/>
        <item x="20"/>
        <item x="28"/>
        <item x="53"/>
        <item x="76"/>
        <item x="71"/>
        <item x="74"/>
        <item x="60"/>
        <item x="80"/>
        <item x="43"/>
        <item x="30"/>
        <item x="11"/>
        <item x="17"/>
        <item t="default"/>
      </items>
    </pivotField>
    <pivotField showAll="0"/>
    <pivotField showAll="0"/>
    <pivotField showAll="0"/>
    <pivotField showAll="0"/>
    <pivotField axis="axisRow" showAll="0">
      <items count="5">
        <item x="1"/>
        <item x="0"/>
        <item x="2"/>
        <item x="3"/>
        <item t="default"/>
      </items>
    </pivotField>
    <pivotField showAll="0"/>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5">
    <i>
      <x/>
    </i>
    <i>
      <x v="1"/>
    </i>
    <i>
      <x v="2"/>
    </i>
    <i>
      <x v="3"/>
    </i>
    <i t="grand">
      <x/>
    </i>
  </rowItems>
  <colItems count="1">
    <i/>
  </colItems>
  <dataFields count="1">
    <dataField name="Sum of Casualties" fld="9" baseField="0" baseItem="0"/>
  </dataFields>
  <chartFormats count="6">
    <chartFormat chart="15" format="0"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18" format="1">
      <pivotArea type="data" outline="0" fieldPosition="0">
        <references count="2">
          <reference field="4294967294" count="1" selected="0">
            <x v="0"/>
          </reference>
          <reference field="6" count="1" selected="0">
            <x v="0"/>
          </reference>
        </references>
      </pivotArea>
    </chartFormat>
    <chartFormat chart="18" format="2">
      <pivotArea type="data" outline="0" fieldPosition="0">
        <references count="2">
          <reference field="4294967294" count="1" selected="0">
            <x v="0"/>
          </reference>
          <reference field="6" count="1" selected="0">
            <x v="1"/>
          </reference>
        </references>
      </pivotArea>
    </chartFormat>
    <chartFormat chart="18" format="3">
      <pivotArea type="data" outline="0" fieldPosition="0">
        <references count="2">
          <reference field="4294967294" count="1" selected="0">
            <x v="0"/>
          </reference>
          <reference field="6" count="1" selected="0">
            <x v="2"/>
          </reference>
        </references>
      </pivotArea>
    </chartFormat>
    <chartFormat chart="18" format="4">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3AB2AFE-30E0-4AC3-893F-AC74E408714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fieldListSortAscending="1">
  <location ref="A6:B30" firstHeaderRow="1" firstDataRow="1" firstDataCol="1"/>
  <pivotFields count="12">
    <pivotField showAll="0"/>
    <pivotField showAll="0">
      <items count="82">
        <item x="0"/>
        <item x="32"/>
        <item x="73"/>
        <item x="2"/>
        <item x="10"/>
        <item x="37"/>
        <item x="56"/>
        <item x="9"/>
        <item x="70"/>
        <item x="45"/>
        <item x="78"/>
        <item x="34"/>
        <item x="18"/>
        <item x="69"/>
        <item x="66"/>
        <item x="19"/>
        <item x="64"/>
        <item x="62"/>
        <item x="55"/>
        <item x="6"/>
        <item x="77"/>
        <item x="46"/>
        <item x="21"/>
        <item x="29"/>
        <item x="4"/>
        <item x="59"/>
        <item x="26"/>
        <item x="15"/>
        <item x="52"/>
        <item x="16"/>
        <item x="54"/>
        <item x="36"/>
        <item x="49"/>
        <item x="7"/>
        <item x="39"/>
        <item x="40"/>
        <item x="72"/>
        <item x="48"/>
        <item x="65"/>
        <item x="13"/>
        <item x="1"/>
        <item x="63"/>
        <item x="44"/>
        <item x="12"/>
        <item x="24"/>
        <item x="75"/>
        <item x="79"/>
        <item x="27"/>
        <item x="5"/>
        <item x="42"/>
        <item x="31"/>
        <item x="67"/>
        <item x="35"/>
        <item x="38"/>
        <item x="41"/>
        <item x="25"/>
        <item x="51"/>
        <item x="68"/>
        <item x="8"/>
        <item x="50"/>
        <item x="57"/>
        <item x="14"/>
        <item x="47"/>
        <item x="33"/>
        <item x="61"/>
        <item x="23"/>
        <item x="3"/>
        <item x="22"/>
        <item x="58"/>
        <item x="20"/>
        <item x="28"/>
        <item x="53"/>
        <item x="76"/>
        <item x="71"/>
        <item x="74"/>
        <item x="60"/>
        <item x="80"/>
        <item x="43"/>
        <item x="30"/>
        <item x="11"/>
        <item x="17"/>
        <item t="default"/>
      </items>
    </pivotField>
    <pivotField axis="axisRow" showAll="0">
      <items count="9">
        <item x="5"/>
        <item x="3"/>
        <item x="6"/>
        <item x="4"/>
        <item x="0"/>
        <item x="7"/>
        <item x="1"/>
        <item x="2"/>
        <item t="default"/>
      </items>
    </pivotField>
    <pivotField showAll="0"/>
    <pivotField axis="axisRow" showAll="0">
      <items count="7">
        <item x="0"/>
        <item x="1"/>
        <item x="5"/>
        <item x="3"/>
        <item x="4"/>
        <item x="2"/>
        <item t="default"/>
      </items>
    </pivotField>
    <pivotField showAll="0"/>
    <pivotField showAll="0"/>
    <pivotField showAll="0">
      <items count="5">
        <item x="1"/>
        <item x="2"/>
        <item x="0"/>
        <item x="3"/>
        <item t="default"/>
      </items>
    </pivotField>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h="1" x="0"/>
        <item x="1"/>
        <item h="1" x="2"/>
        <item h="1" x="3"/>
        <item h="1" x="4"/>
        <item h="1" x="5"/>
        <item h="1" x="6"/>
        <item h="1" x="7"/>
        <item h="1" x="8"/>
        <item h="1" x="9"/>
        <item h="1" x="10"/>
        <item h="1" x="11"/>
        <item h="1" x="12"/>
        <item h="1" x="13"/>
        <item t="default"/>
      </items>
    </pivotField>
  </pivotFields>
  <rowFields count="2">
    <field x="2"/>
    <field x="4"/>
  </rowFields>
  <rowItems count="24">
    <i>
      <x/>
    </i>
    <i r="1">
      <x v="4"/>
    </i>
    <i>
      <x v="1"/>
    </i>
    <i r="1">
      <x/>
    </i>
    <i r="1">
      <x v="1"/>
    </i>
    <i r="1">
      <x v="3"/>
    </i>
    <i>
      <x v="3"/>
    </i>
    <i r="1">
      <x v="1"/>
    </i>
    <i r="1">
      <x v="3"/>
    </i>
    <i r="1">
      <x v="5"/>
    </i>
    <i>
      <x v="4"/>
    </i>
    <i r="1">
      <x/>
    </i>
    <i>
      <x v="5"/>
    </i>
    <i r="1">
      <x v="1"/>
    </i>
    <i r="1">
      <x v="2"/>
    </i>
    <i r="1">
      <x v="3"/>
    </i>
    <i>
      <x v="6"/>
    </i>
    <i r="1">
      <x v="1"/>
    </i>
    <i r="1">
      <x v="3"/>
    </i>
    <i r="1">
      <x v="5"/>
    </i>
    <i>
      <x v="7"/>
    </i>
    <i r="1">
      <x/>
    </i>
    <i r="1">
      <x v="4"/>
    </i>
    <i t="grand">
      <x/>
    </i>
  </rowItems>
  <colItems count="1">
    <i/>
  </colItems>
  <dataFields count="1">
    <dataField name="Sum of Casualties" fld="9" baseField="0" baseItem="0"/>
  </dataFields>
  <chartFormats count="1">
    <chartFormat chart="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FDD603B9-84D8-495D-A253-CEAF8D7D0A04}" sourceName="Months (Date)">
  <pivotTables>
    <pivotTable tabId="2" name="PivotTable1"/>
  </pivotTables>
  <data>
    <tabular pivotCacheId="755915532">
      <items count="14">
        <i x="1" s="1"/>
        <i x="2"/>
        <i x="3"/>
        <i x="4"/>
        <i x="5"/>
        <i x="6"/>
        <i x="7" nd="1"/>
        <i x="8" nd="1"/>
        <i x="9" nd="1"/>
        <i x="10" nd="1"/>
        <i x="11" nd="1"/>
        <i x="12" nd="1"/>
        <i x="0" nd="1"/>
        <i x="1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verity" xr10:uid="{C4F6FAFB-5AC7-4EF5-B973-407DC017EE01}" sourceName="Severity">
  <pivotTables>
    <pivotTable tabId="2" name="PivotTable1"/>
  </pivotTables>
  <data>
    <tabular pivotCacheId="755915532">
      <items count="4">
        <i x="1" s="1"/>
        <i x="2" s="1"/>
        <i x="0"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Date)" xr10:uid="{3AC0E8C7-1344-4DA6-892F-1B5D4D7066F4}" cache="Slicer_Months__Date" caption="Months (Date)" rowHeight="247650"/>
  <slicer name="Severity" xr10:uid="{78511D22-0A46-4CA9-B0E1-92B3B5D3EF78}" cache="Slicer_Severity" caption="Severity"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1B8EC-05A8-4A8D-B174-F8330AC9C45F}">
  <sheetPr codeName="Sheet1"/>
  <dimension ref="A1:F14"/>
  <sheetViews>
    <sheetView workbookViewId="0">
      <selection activeCell="F16" sqref="F16"/>
    </sheetView>
  </sheetViews>
  <sheetFormatPr defaultRowHeight="14.4" x14ac:dyDescent="0.3"/>
  <cols>
    <col min="1" max="1" width="15.6640625" bestFit="1" customWidth="1"/>
    <col min="2" max="2" width="10.5546875" bestFit="1" customWidth="1"/>
    <col min="3" max="3" width="12.6640625" bestFit="1" customWidth="1"/>
    <col min="4" max="4" width="17" bestFit="1" customWidth="1"/>
    <col min="5" max="5" width="21.6640625" bestFit="1" customWidth="1"/>
    <col min="6" max="6" width="11.21875" bestFit="1" customWidth="1"/>
  </cols>
  <sheetData>
    <row r="1" spans="1:6" s="23" customFormat="1" x14ac:dyDescent="0.3">
      <c r="A1" s="23" t="s">
        <v>0</v>
      </c>
    </row>
    <row r="3" spans="1:6" x14ac:dyDescent="0.3">
      <c r="A3" s="20" t="s">
        <v>1</v>
      </c>
      <c r="B3" s="20" t="s">
        <v>2</v>
      </c>
      <c r="C3" s="20" t="s">
        <v>3</v>
      </c>
      <c r="D3" s="20" t="s">
        <v>4</v>
      </c>
      <c r="E3" s="20" t="s">
        <v>5</v>
      </c>
      <c r="F3" s="20" t="s">
        <v>14</v>
      </c>
    </row>
    <row r="4" spans="1:6" x14ac:dyDescent="0.3">
      <c r="A4" s="21" t="s">
        <v>6</v>
      </c>
      <c r="B4" s="22">
        <v>44321</v>
      </c>
      <c r="C4" s="21">
        <f ca="1">DATEDIF(B4,$F$4,"Y")</f>
        <v>4</v>
      </c>
      <c r="D4" s="21">
        <f ca="1">DATEDIF(B4,$F$4,"YM")</f>
        <v>8</v>
      </c>
      <c r="E4" s="21" t="str">
        <f ca="1">DATEDIF(B4,$F$4,"Y") &amp; " Years "  &amp;  DATEDIF(B4,$F$4,"YM") &amp; "  Months"</f>
        <v>4 Years 8  Months</v>
      </c>
      <c r="F4" s="22">
        <f ca="1">TODAY()</f>
        <v>46028</v>
      </c>
    </row>
    <row r="5" spans="1:6" x14ac:dyDescent="0.3">
      <c r="A5" s="21" t="s">
        <v>7</v>
      </c>
      <c r="B5" s="22">
        <v>43570</v>
      </c>
      <c r="C5" s="21">
        <f t="shared" ref="C5:C11" ca="1" si="0">DATEDIF(B5,$F$4,"Y")</f>
        <v>6</v>
      </c>
      <c r="D5" s="21">
        <f t="shared" ref="D5:D11" ca="1" si="1">DATEDIF(B5,$F$4,"YM")</f>
        <v>8</v>
      </c>
      <c r="E5" s="21" t="str">
        <f t="shared" ref="E5:E11" ca="1" si="2">DATEDIF(B5,$F$4,"Y") &amp; " Years "  &amp;  DATEDIF(B5,$F$4,"YM") &amp; "  Months"</f>
        <v>6 Years 8  Months</v>
      </c>
      <c r="F5" s="21"/>
    </row>
    <row r="6" spans="1:6" x14ac:dyDescent="0.3">
      <c r="A6" s="21" t="s">
        <v>8</v>
      </c>
      <c r="B6" s="22">
        <v>44190</v>
      </c>
      <c r="C6" s="21">
        <f t="shared" ca="1" si="0"/>
        <v>5</v>
      </c>
      <c r="D6" s="21">
        <f t="shared" ca="1" si="1"/>
        <v>0</v>
      </c>
      <c r="E6" s="21" t="str">
        <f t="shared" ca="1" si="2"/>
        <v>5 Years 0  Months</v>
      </c>
      <c r="F6" s="21"/>
    </row>
    <row r="7" spans="1:6" x14ac:dyDescent="0.3">
      <c r="A7" s="21" t="s">
        <v>9</v>
      </c>
      <c r="B7" s="22">
        <v>42194</v>
      </c>
      <c r="C7" s="21">
        <f t="shared" ca="1" si="0"/>
        <v>10</v>
      </c>
      <c r="D7" s="21">
        <f t="shared" ca="1" si="1"/>
        <v>5</v>
      </c>
      <c r="E7" s="21" t="str">
        <f t="shared" ca="1" si="2"/>
        <v>10 Years 5  Months</v>
      </c>
      <c r="F7" s="21"/>
    </row>
    <row r="8" spans="1:6" x14ac:dyDescent="0.3">
      <c r="A8" s="21" t="s">
        <v>10</v>
      </c>
      <c r="B8" s="22">
        <v>42903</v>
      </c>
      <c r="C8" s="21">
        <f t="shared" ca="1" si="0"/>
        <v>8</v>
      </c>
      <c r="D8" s="21">
        <f t="shared" ca="1" si="1"/>
        <v>6</v>
      </c>
      <c r="E8" s="21" t="str">
        <f t="shared" ca="1" si="2"/>
        <v>8 Years 6  Months</v>
      </c>
      <c r="F8" s="21"/>
    </row>
    <row r="9" spans="1:6" x14ac:dyDescent="0.3">
      <c r="A9" s="21" t="s">
        <v>11</v>
      </c>
      <c r="B9" s="22">
        <v>43318</v>
      </c>
      <c r="C9" s="21">
        <f t="shared" ca="1" si="0"/>
        <v>7</v>
      </c>
      <c r="D9" s="21">
        <f t="shared" ca="1" si="1"/>
        <v>5</v>
      </c>
      <c r="E9" s="21" t="str">
        <f t="shared" ca="1" si="2"/>
        <v>7 Years 5  Months</v>
      </c>
      <c r="F9" s="21"/>
    </row>
    <row r="10" spans="1:6" x14ac:dyDescent="0.3">
      <c r="A10" s="21" t="s">
        <v>12</v>
      </c>
      <c r="B10" s="22">
        <v>45743</v>
      </c>
      <c r="C10" s="21">
        <f t="shared" ca="1" si="0"/>
        <v>0</v>
      </c>
      <c r="D10" s="21">
        <f t="shared" ca="1" si="1"/>
        <v>9</v>
      </c>
      <c r="E10" s="21" t="str">
        <f t="shared" ca="1" si="2"/>
        <v>0 Years 9  Months</v>
      </c>
      <c r="F10" s="21"/>
    </row>
    <row r="11" spans="1:6" x14ac:dyDescent="0.3">
      <c r="A11" s="21" t="s">
        <v>13</v>
      </c>
      <c r="B11" s="22">
        <v>42664</v>
      </c>
      <c r="C11" s="21">
        <f t="shared" ca="1" si="0"/>
        <v>9</v>
      </c>
      <c r="D11" s="21">
        <f t="shared" ca="1" si="1"/>
        <v>2</v>
      </c>
      <c r="E11" s="21" t="str">
        <f t="shared" ca="1" si="2"/>
        <v>9 Years 2  Months</v>
      </c>
      <c r="F11" s="21"/>
    </row>
    <row r="14" spans="1:6" s="10" customFormat="1" x14ac:dyDescent="0.3"/>
  </sheetData>
  <mergeCells count="2">
    <mergeCell ref="A1:XFD1"/>
    <mergeCell ref="A14:XFD1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E4BCA-4295-4785-A29C-3B51F06B63C6}">
  <sheetPr codeName="Sheet2"/>
  <dimension ref="A1:G119"/>
  <sheetViews>
    <sheetView zoomScale="99" workbookViewId="0">
      <selection sqref="A1:XFD1"/>
    </sheetView>
  </sheetViews>
  <sheetFormatPr defaultRowHeight="14.4" x14ac:dyDescent="0.3"/>
  <cols>
    <col min="1" max="1" width="16.21875" bestFit="1" customWidth="1"/>
    <col min="2" max="2" width="15.88671875" bestFit="1" customWidth="1"/>
  </cols>
  <sheetData>
    <row r="1" spans="1:7" s="23" customFormat="1" x14ac:dyDescent="0.3">
      <c r="A1" s="23" t="s">
        <v>15</v>
      </c>
    </row>
    <row r="3" spans="1:7" x14ac:dyDescent="0.3">
      <c r="A3" t="s">
        <v>16</v>
      </c>
      <c r="G3" t="s">
        <v>56</v>
      </c>
    </row>
    <row r="6" spans="1:7" x14ac:dyDescent="0.3">
      <c r="A6" s="4" t="s">
        <v>17</v>
      </c>
      <c r="B6" t="s">
        <v>32</v>
      </c>
    </row>
    <row r="7" spans="1:7" x14ac:dyDescent="0.3">
      <c r="A7" s="5" t="s">
        <v>18</v>
      </c>
      <c r="B7">
        <v>12</v>
      </c>
    </row>
    <row r="8" spans="1:7" x14ac:dyDescent="0.3">
      <c r="A8" s="6" t="s">
        <v>30</v>
      </c>
      <c r="B8">
        <v>12</v>
      </c>
    </row>
    <row r="9" spans="1:7" x14ac:dyDescent="0.3">
      <c r="A9" s="5" t="s">
        <v>19</v>
      </c>
      <c r="B9">
        <v>7</v>
      </c>
    </row>
    <row r="10" spans="1:7" x14ac:dyDescent="0.3">
      <c r="A10" s="6" t="s">
        <v>26</v>
      </c>
      <c r="B10">
        <v>0</v>
      </c>
    </row>
    <row r="11" spans="1:7" x14ac:dyDescent="0.3">
      <c r="A11" s="6" t="s">
        <v>27</v>
      </c>
      <c r="B11">
        <v>2</v>
      </c>
    </row>
    <row r="12" spans="1:7" x14ac:dyDescent="0.3">
      <c r="A12" s="6" t="s">
        <v>29</v>
      </c>
      <c r="B12">
        <v>5</v>
      </c>
    </row>
    <row r="13" spans="1:7" x14ac:dyDescent="0.3">
      <c r="A13" s="5" t="s">
        <v>20</v>
      </c>
      <c r="B13">
        <v>8</v>
      </c>
    </row>
    <row r="14" spans="1:7" x14ac:dyDescent="0.3">
      <c r="A14" s="6" t="s">
        <v>27</v>
      </c>
      <c r="B14">
        <v>5</v>
      </c>
    </row>
    <row r="15" spans="1:7" x14ac:dyDescent="0.3">
      <c r="A15" s="6" t="s">
        <v>29</v>
      </c>
      <c r="B15">
        <v>0</v>
      </c>
    </row>
    <row r="16" spans="1:7" x14ac:dyDescent="0.3">
      <c r="A16" s="6" t="s">
        <v>31</v>
      </c>
      <c r="B16">
        <v>3</v>
      </c>
    </row>
    <row r="17" spans="1:2" x14ac:dyDescent="0.3">
      <c r="A17" s="5" t="s">
        <v>21</v>
      </c>
      <c r="B17">
        <v>4</v>
      </c>
    </row>
    <row r="18" spans="1:2" x14ac:dyDescent="0.3">
      <c r="A18" s="6" t="s">
        <v>26</v>
      </c>
      <c r="B18">
        <v>4</v>
      </c>
    </row>
    <row r="19" spans="1:2" x14ac:dyDescent="0.3">
      <c r="A19" s="5" t="s">
        <v>22</v>
      </c>
      <c r="B19">
        <v>13</v>
      </c>
    </row>
    <row r="20" spans="1:2" x14ac:dyDescent="0.3">
      <c r="A20" s="6" t="s">
        <v>27</v>
      </c>
      <c r="B20">
        <v>4</v>
      </c>
    </row>
    <row r="21" spans="1:2" x14ac:dyDescent="0.3">
      <c r="A21" s="6" t="s">
        <v>28</v>
      </c>
      <c r="B21">
        <v>4</v>
      </c>
    </row>
    <row r="22" spans="1:2" x14ac:dyDescent="0.3">
      <c r="A22" s="6" t="s">
        <v>29</v>
      </c>
      <c r="B22">
        <v>5</v>
      </c>
    </row>
    <row r="23" spans="1:2" x14ac:dyDescent="0.3">
      <c r="A23" s="5" t="s">
        <v>23</v>
      </c>
      <c r="B23">
        <v>11</v>
      </c>
    </row>
    <row r="24" spans="1:2" x14ac:dyDescent="0.3">
      <c r="A24" s="6" t="s">
        <v>27</v>
      </c>
      <c r="B24">
        <v>3</v>
      </c>
    </row>
    <row r="25" spans="1:2" x14ac:dyDescent="0.3">
      <c r="A25" s="6" t="s">
        <v>29</v>
      </c>
      <c r="B25">
        <v>5</v>
      </c>
    </row>
    <row r="26" spans="1:2" x14ac:dyDescent="0.3">
      <c r="A26" s="6" t="s">
        <v>31</v>
      </c>
      <c r="B26">
        <v>3</v>
      </c>
    </row>
    <row r="27" spans="1:2" x14ac:dyDescent="0.3">
      <c r="A27" s="5" t="s">
        <v>24</v>
      </c>
      <c r="B27">
        <v>2</v>
      </c>
    </row>
    <row r="28" spans="1:2" x14ac:dyDescent="0.3">
      <c r="A28" s="6" t="s">
        <v>26</v>
      </c>
      <c r="B28">
        <v>0</v>
      </c>
    </row>
    <row r="29" spans="1:2" x14ac:dyDescent="0.3">
      <c r="A29" s="6" t="s">
        <v>30</v>
      </c>
      <c r="B29">
        <v>2</v>
      </c>
    </row>
    <row r="30" spans="1:2" x14ac:dyDescent="0.3">
      <c r="A30" s="5" t="s">
        <v>25</v>
      </c>
      <c r="B30">
        <v>57</v>
      </c>
    </row>
    <row r="33" spans="1:6" x14ac:dyDescent="0.3">
      <c r="A33" s="6" t="s">
        <v>33</v>
      </c>
    </row>
    <row r="37" spans="1:6" x14ac:dyDescent="0.3">
      <c r="A37" t="s">
        <v>34</v>
      </c>
      <c r="F37" t="s">
        <v>58</v>
      </c>
    </row>
    <row r="39" spans="1:6" x14ac:dyDescent="0.3">
      <c r="A39" s="4" t="s">
        <v>17</v>
      </c>
      <c r="B39" t="s">
        <v>32</v>
      </c>
    </row>
    <row r="40" spans="1:6" x14ac:dyDescent="0.3">
      <c r="A40" s="5" t="s">
        <v>35</v>
      </c>
      <c r="B40">
        <v>65</v>
      </c>
    </row>
    <row r="41" spans="1:6" x14ac:dyDescent="0.3">
      <c r="A41" s="5" t="s">
        <v>36</v>
      </c>
      <c r="B41">
        <v>46</v>
      </c>
    </row>
    <row r="42" spans="1:6" x14ac:dyDescent="0.3">
      <c r="A42" s="5" t="s">
        <v>37</v>
      </c>
      <c r="B42">
        <v>79</v>
      </c>
    </row>
    <row r="43" spans="1:6" x14ac:dyDescent="0.3">
      <c r="A43" s="5" t="s">
        <v>38</v>
      </c>
      <c r="B43">
        <v>62</v>
      </c>
    </row>
    <row r="44" spans="1:6" x14ac:dyDescent="0.3">
      <c r="A44" s="5" t="s">
        <v>25</v>
      </c>
      <c r="B44">
        <v>252</v>
      </c>
    </row>
    <row r="50" spans="1:6" x14ac:dyDescent="0.3">
      <c r="A50" s="5" t="s">
        <v>39</v>
      </c>
      <c r="F50" t="s">
        <v>57</v>
      </c>
    </row>
    <row r="53" spans="1:6" x14ac:dyDescent="0.3">
      <c r="A53" s="4" t="s">
        <v>17</v>
      </c>
      <c r="B53" t="s">
        <v>32</v>
      </c>
    </row>
    <row r="54" spans="1:6" x14ac:dyDescent="0.3">
      <c r="A54" s="5" t="s">
        <v>40</v>
      </c>
      <c r="B54">
        <v>67</v>
      </c>
    </row>
    <row r="55" spans="1:6" x14ac:dyDescent="0.3">
      <c r="A55" s="6" t="s">
        <v>45</v>
      </c>
      <c r="B55">
        <v>18</v>
      </c>
    </row>
    <row r="56" spans="1:6" x14ac:dyDescent="0.3">
      <c r="A56" s="6" t="s">
        <v>46</v>
      </c>
      <c r="B56">
        <v>14</v>
      </c>
    </row>
    <row r="57" spans="1:6" x14ac:dyDescent="0.3">
      <c r="A57" s="6" t="s">
        <v>47</v>
      </c>
      <c r="B57">
        <v>9</v>
      </c>
    </row>
    <row r="58" spans="1:6" x14ac:dyDescent="0.3">
      <c r="A58" s="6" t="s">
        <v>48</v>
      </c>
      <c r="B58">
        <v>7</v>
      </c>
    </row>
    <row r="59" spans="1:6" x14ac:dyDescent="0.3">
      <c r="A59" s="6" t="s">
        <v>49</v>
      </c>
      <c r="B59">
        <v>9</v>
      </c>
    </row>
    <row r="60" spans="1:6" x14ac:dyDescent="0.3">
      <c r="A60" s="6" t="s">
        <v>50</v>
      </c>
      <c r="B60">
        <v>10</v>
      </c>
    </row>
    <row r="61" spans="1:6" x14ac:dyDescent="0.3">
      <c r="A61" s="5" t="s">
        <v>41</v>
      </c>
      <c r="B61">
        <v>56</v>
      </c>
    </row>
    <row r="62" spans="1:6" x14ac:dyDescent="0.3">
      <c r="A62" s="6" t="s">
        <v>45</v>
      </c>
      <c r="B62">
        <v>15</v>
      </c>
    </row>
    <row r="63" spans="1:6" x14ac:dyDescent="0.3">
      <c r="A63" s="6" t="s">
        <v>46</v>
      </c>
      <c r="B63">
        <v>9</v>
      </c>
    </row>
    <row r="64" spans="1:6" x14ac:dyDescent="0.3">
      <c r="A64" s="6" t="s">
        <v>47</v>
      </c>
      <c r="B64">
        <v>21</v>
      </c>
    </row>
    <row r="65" spans="1:2" x14ac:dyDescent="0.3">
      <c r="A65" s="6" t="s">
        <v>48</v>
      </c>
      <c r="B65">
        <v>5</v>
      </c>
    </row>
    <row r="66" spans="1:2" x14ac:dyDescent="0.3">
      <c r="A66" s="6" t="s">
        <v>49</v>
      </c>
      <c r="B66">
        <v>2</v>
      </c>
    </row>
    <row r="67" spans="1:2" x14ac:dyDescent="0.3">
      <c r="A67" s="6" t="s">
        <v>50</v>
      </c>
      <c r="B67">
        <v>4</v>
      </c>
    </row>
    <row r="68" spans="1:2" x14ac:dyDescent="0.3">
      <c r="A68" s="5" t="s">
        <v>42</v>
      </c>
      <c r="B68">
        <v>32</v>
      </c>
    </row>
    <row r="69" spans="1:2" x14ac:dyDescent="0.3">
      <c r="A69" s="6" t="s">
        <v>45</v>
      </c>
      <c r="B69">
        <v>5</v>
      </c>
    </row>
    <row r="70" spans="1:2" x14ac:dyDescent="0.3">
      <c r="A70" s="6" t="s">
        <v>46</v>
      </c>
      <c r="B70">
        <v>2</v>
      </c>
    </row>
    <row r="71" spans="1:2" x14ac:dyDescent="0.3">
      <c r="A71" s="6" t="s">
        <v>47</v>
      </c>
      <c r="B71">
        <v>2</v>
      </c>
    </row>
    <row r="72" spans="1:2" x14ac:dyDescent="0.3">
      <c r="A72" s="6" t="s">
        <v>48</v>
      </c>
      <c r="B72">
        <v>3</v>
      </c>
    </row>
    <row r="73" spans="1:2" x14ac:dyDescent="0.3">
      <c r="A73" s="6" t="s">
        <v>49</v>
      </c>
      <c r="B73">
        <v>10</v>
      </c>
    </row>
    <row r="74" spans="1:2" x14ac:dyDescent="0.3">
      <c r="A74" s="6" t="s">
        <v>50</v>
      </c>
      <c r="B74">
        <v>10</v>
      </c>
    </row>
    <row r="75" spans="1:2" x14ac:dyDescent="0.3">
      <c r="A75" s="5" t="s">
        <v>43</v>
      </c>
      <c r="B75">
        <v>69</v>
      </c>
    </row>
    <row r="76" spans="1:2" x14ac:dyDescent="0.3">
      <c r="A76" s="6" t="s">
        <v>45</v>
      </c>
      <c r="B76">
        <v>14</v>
      </c>
    </row>
    <row r="77" spans="1:2" x14ac:dyDescent="0.3">
      <c r="A77" s="6" t="s">
        <v>47</v>
      </c>
      <c r="B77">
        <v>21</v>
      </c>
    </row>
    <row r="78" spans="1:2" x14ac:dyDescent="0.3">
      <c r="A78" s="6" t="s">
        <v>48</v>
      </c>
      <c r="B78">
        <v>3</v>
      </c>
    </row>
    <row r="79" spans="1:2" x14ac:dyDescent="0.3">
      <c r="A79" s="6" t="s">
        <v>49</v>
      </c>
      <c r="B79">
        <v>23</v>
      </c>
    </row>
    <row r="80" spans="1:2" x14ac:dyDescent="0.3">
      <c r="A80" s="6" t="s">
        <v>50</v>
      </c>
      <c r="B80">
        <v>8</v>
      </c>
    </row>
    <row r="81" spans="1:6" x14ac:dyDescent="0.3">
      <c r="A81" s="5" t="s">
        <v>44</v>
      </c>
      <c r="B81">
        <v>28</v>
      </c>
    </row>
    <row r="82" spans="1:6" x14ac:dyDescent="0.3">
      <c r="A82" s="6" t="s">
        <v>45</v>
      </c>
      <c r="B82">
        <v>5</v>
      </c>
    </row>
    <row r="83" spans="1:6" x14ac:dyDescent="0.3">
      <c r="A83" s="6" t="s">
        <v>46</v>
      </c>
      <c r="B83">
        <v>2</v>
      </c>
    </row>
    <row r="84" spans="1:6" x14ac:dyDescent="0.3">
      <c r="A84" s="6" t="s">
        <v>47</v>
      </c>
      <c r="B84">
        <v>3</v>
      </c>
    </row>
    <row r="85" spans="1:6" x14ac:dyDescent="0.3">
      <c r="A85" s="6" t="s">
        <v>48</v>
      </c>
      <c r="B85">
        <v>9</v>
      </c>
    </row>
    <row r="86" spans="1:6" x14ac:dyDescent="0.3">
      <c r="A86" s="6" t="s">
        <v>49</v>
      </c>
      <c r="B86">
        <v>2</v>
      </c>
    </row>
    <row r="87" spans="1:6" x14ac:dyDescent="0.3">
      <c r="A87" s="6" t="s">
        <v>50</v>
      </c>
      <c r="B87">
        <v>7</v>
      </c>
    </row>
    <row r="88" spans="1:6" x14ac:dyDescent="0.3">
      <c r="A88" s="5" t="s">
        <v>25</v>
      </c>
      <c r="B88">
        <v>252</v>
      </c>
    </row>
    <row r="92" spans="1:6" x14ac:dyDescent="0.3">
      <c r="A92" s="6" t="s">
        <v>51</v>
      </c>
      <c r="F92" t="s">
        <v>59</v>
      </c>
    </row>
    <row r="94" spans="1:6" x14ac:dyDescent="0.3">
      <c r="A94" s="4" t="s">
        <v>17</v>
      </c>
      <c r="B94" t="s">
        <v>32</v>
      </c>
    </row>
    <row r="95" spans="1:6" x14ac:dyDescent="0.3">
      <c r="A95" s="5" t="s">
        <v>52</v>
      </c>
      <c r="B95">
        <v>71</v>
      </c>
    </row>
    <row r="96" spans="1:6" x14ac:dyDescent="0.3">
      <c r="A96" s="6" t="s">
        <v>40</v>
      </c>
      <c r="B96">
        <v>20</v>
      </c>
    </row>
    <row r="97" spans="1:2" x14ac:dyDescent="0.3">
      <c r="A97" s="6" t="s">
        <v>41</v>
      </c>
      <c r="B97">
        <v>25</v>
      </c>
    </row>
    <row r="98" spans="1:2" x14ac:dyDescent="0.3">
      <c r="A98" s="6" t="s">
        <v>42</v>
      </c>
      <c r="B98">
        <v>9</v>
      </c>
    </row>
    <row r="99" spans="1:2" x14ac:dyDescent="0.3">
      <c r="A99" s="6" t="s">
        <v>43</v>
      </c>
      <c r="B99">
        <v>14</v>
      </c>
    </row>
    <row r="100" spans="1:2" x14ac:dyDescent="0.3">
      <c r="A100" s="6" t="s">
        <v>44</v>
      </c>
      <c r="B100">
        <v>3</v>
      </c>
    </row>
    <row r="101" spans="1:2" x14ac:dyDescent="0.3">
      <c r="A101" s="5" t="s">
        <v>53</v>
      </c>
      <c r="B101">
        <v>65</v>
      </c>
    </row>
    <row r="102" spans="1:2" x14ac:dyDescent="0.3">
      <c r="A102" s="6" t="s">
        <v>40</v>
      </c>
      <c r="B102">
        <v>16</v>
      </c>
    </row>
    <row r="103" spans="1:2" x14ac:dyDescent="0.3">
      <c r="A103" s="6" t="s">
        <v>41</v>
      </c>
      <c r="B103">
        <v>13</v>
      </c>
    </row>
    <row r="104" spans="1:2" x14ac:dyDescent="0.3">
      <c r="A104" s="6" t="s">
        <v>42</v>
      </c>
      <c r="B104">
        <v>4</v>
      </c>
    </row>
    <row r="105" spans="1:2" x14ac:dyDescent="0.3">
      <c r="A105" s="6" t="s">
        <v>43</v>
      </c>
      <c r="B105">
        <v>20</v>
      </c>
    </row>
    <row r="106" spans="1:2" x14ac:dyDescent="0.3">
      <c r="A106" s="6" t="s">
        <v>44</v>
      </c>
      <c r="B106">
        <v>12</v>
      </c>
    </row>
    <row r="107" spans="1:2" x14ac:dyDescent="0.3">
      <c r="A107" s="5" t="s">
        <v>54</v>
      </c>
      <c r="B107">
        <v>57</v>
      </c>
    </row>
    <row r="108" spans="1:2" x14ac:dyDescent="0.3">
      <c r="A108" s="6" t="s">
        <v>40</v>
      </c>
      <c r="B108">
        <v>15</v>
      </c>
    </row>
    <row r="109" spans="1:2" x14ac:dyDescent="0.3">
      <c r="A109" s="6" t="s">
        <v>41</v>
      </c>
      <c r="B109">
        <v>9</v>
      </c>
    </row>
    <row r="110" spans="1:2" x14ac:dyDescent="0.3">
      <c r="A110" s="6" t="s">
        <v>42</v>
      </c>
      <c r="B110">
        <v>9</v>
      </c>
    </row>
    <row r="111" spans="1:2" x14ac:dyDescent="0.3">
      <c r="A111" s="6" t="s">
        <v>43</v>
      </c>
      <c r="B111">
        <v>17</v>
      </c>
    </row>
    <row r="112" spans="1:2" x14ac:dyDescent="0.3">
      <c r="A112" s="6" t="s">
        <v>44</v>
      </c>
      <c r="B112">
        <v>7</v>
      </c>
    </row>
    <row r="113" spans="1:2" x14ac:dyDescent="0.3">
      <c r="A113" s="5" t="s">
        <v>55</v>
      </c>
      <c r="B113">
        <v>59</v>
      </c>
    </row>
    <row r="114" spans="1:2" x14ac:dyDescent="0.3">
      <c r="A114" s="6" t="s">
        <v>40</v>
      </c>
      <c r="B114">
        <v>16</v>
      </c>
    </row>
    <row r="115" spans="1:2" x14ac:dyDescent="0.3">
      <c r="A115" s="6" t="s">
        <v>41</v>
      </c>
      <c r="B115">
        <v>9</v>
      </c>
    </row>
    <row r="116" spans="1:2" x14ac:dyDescent="0.3">
      <c r="A116" s="6" t="s">
        <v>42</v>
      </c>
      <c r="B116">
        <v>10</v>
      </c>
    </row>
    <row r="117" spans="1:2" x14ac:dyDescent="0.3">
      <c r="A117" s="6" t="s">
        <v>43</v>
      </c>
      <c r="B117">
        <v>18</v>
      </c>
    </row>
    <row r="118" spans="1:2" x14ac:dyDescent="0.3">
      <c r="A118" s="6" t="s">
        <v>44</v>
      </c>
      <c r="B118">
        <v>6</v>
      </c>
    </row>
    <row r="119" spans="1:2" x14ac:dyDescent="0.3">
      <c r="A119" s="5" t="s">
        <v>25</v>
      </c>
      <c r="B119">
        <v>252</v>
      </c>
    </row>
  </sheetData>
  <mergeCells count="1">
    <mergeCell ref="A1:XFD1"/>
  </mergeCells>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F5725-974F-4306-85BD-8448C53E57F2}">
  <sheetPr codeName="Sheet3"/>
  <dimension ref="A1:C13"/>
  <sheetViews>
    <sheetView workbookViewId="0">
      <selection sqref="A1:XFD1"/>
    </sheetView>
  </sheetViews>
  <sheetFormatPr defaultRowHeight="14.4" x14ac:dyDescent="0.3"/>
  <cols>
    <col min="1" max="1" width="10.88671875" customWidth="1"/>
    <col min="2" max="2" width="12.5546875" bestFit="1" customWidth="1"/>
    <col min="3" max="3" width="9.88671875" bestFit="1" customWidth="1"/>
  </cols>
  <sheetData>
    <row r="1" spans="1:3" s="23" customFormat="1" x14ac:dyDescent="0.3">
      <c r="A1" s="23" t="s">
        <v>60</v>
      </c>
    </row>
    <row r="3" spans="1:3" x14ac:dyDescent="0.3">
      <c r="A3" s="2" t="s">
        <v>61</v>
      </c>
      <c r="B3" s="2" t="s">
        <v>62</v>
      </c>
      <c r="C3" s="7" t="s">
        <v>63</v>
      </c>
    </row>
    <row r="4" spans="1:3" x14ac:dyDescent="0.3">
      <c r="A4" s="2" t="s">
        <v>64</v>
      </c>
      <c r="B4" s="2" t="s">
        <v>74</v>
      </c>
      <c r="C4" s="8">
        <v>8</v>
      </c>
    </row>
    <row r="5" spans="1:3" x14ac:dyDescent="0.3">
      <c r="A5" s="2" t="s">
        <v>65</v>
      </c>
      <c r="B5" s="2" t="s">
        <v>75</v>
      </c>
      <c r="C5" s="2">
        <v>12</v>
      </c>
    </row>
    <row r="6" spans="1:3" x14ac:dyDescent="0.3">
      <c r="A6" s="2" t="s">
        <v>66</v>
      </c>
      <c r="B6" s="2" t="s">
        <v>76</v>
      </c>
      <c r="C6" s="9">
        <v>60</v>
      </c>
    </row>
    <row r="7" spans="1:3" x14ac:dyDescent="0.3">
      <c r="A7" s="2" t="s">
        <v>67</v>
      </c>
      <c r="B7" s="2" t="s">
        <v>77</v>
      </c>
      <c r="C7" s="8">
        <v>9</v>
      </c>
    </row>
    <row r="8" spans="1:3" x14ac:dyDescent="0.3">
      <c r="A8" s="2" t="s">
        <v>68</v>
      </c>
      <c r="B8" s="2" t="s">
        <v>78</v>
      </c>
      <c r="C8" s="2">
        <v>35</v>
      </c>
    </row>
    <row r="9" spans="1:3" x14ac:dyDescent="0.3">
      <c r="A9" s="2" t="s">
        <v>69</v>
      </c>
      <c r="B9" s="2" t="s">
        <v>79</v>
      </c>
      <c r="C9" s="9">
        <v>70</v>
      </c>
    </row>
    <row r="10" spans="1:3" x14ac:dyDescent="0.3">
      <c r="A10" s="2" t="s">
        <v>70</v>
      </c>
      <c r="B10" s="2" t="s">
        <v>80</v>
      </c>
      <c r="C10" s="2">
        <v>18</v>
      </c>
    </row>
    <row r="11" spans="1:3" x14ac:dyDescent="0.3">
      <c r="A11" s="2" t="s">
        <v>71</v>
      </c>
      <c r="B11" s="2" t="s">
        <v>81</v>
      </c>
      <c r="C11" s="9">
        <v>52</v>
      </c>
    </row>
    <row r="12" spans="1:3" x14ac:dyDescent="0.3">
      <c r="A12" s="2" t="s">
        <v>72</v>
      </c>
      <c r="B12" s="2" t="s">
        <v>82</v>
      </c>
      <c r="C12" s="8">
        <v>3</v>
      </c>
    </row>
    <row r="13" spans="1:3" x14ac:dyDescent="0.3">
      <c r="A13" s="2" t="s">
        <v>73</v>
      </c>
      <c r="B13" s="2" t="s">
        <v>83</v>
      </c>
      <c r="C13" s="9">
        <v>67</v>
      </c>
    </row>
  </sheetData>
  <mergeCells count="1">
    <mergeCell ref="A1:XFD1"/>
  </mergeCells>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7515A-F3C5-4DC4-B838-ED909E6F7A70}">
  <dimension ref="A1:P53"/>
  <sheetViews>
    <sheetView workbookViewId="0">
      <selection sqref="A1:XFD1"/>
    </sheetView>
  </sheetViews>
  <sheetFormatPr defaultRowHeight="14.4" x14ac:dyDescent="0.3"/>
  <cols>
    <col min="1" max="1" width="13.21875" customWidth="1"/>
    <col min="2" max="2" width="9.33203125" bestFit="1" customWidth="1"/>
    <col min="3" max="3" width="14.21875" bestFit="1" customWidth="1"/>
    <col min="4" max="4" width="9.77734375" bestFit="1" customWidth="1"/>
    <col min="5" max="5" width="14.88671875" bestFit="1" customWidth="1"/>
    <col min="6" max="6" width="15.6640625" bestFit="1" customWidth="1"/>
    <col min="8" max="8" width="11.109375" bestFit="1" customWidth="1"/>
    <col min="9" max="9" width="11.88671875" bestFit="1" customWidth="1"/>
    <col min="10" max="10" width="14.21875" bestFit="1" customWidth="1"/>
    <col min="11" max="11" width="12.21875" bestFit="1" customWidth="1"/>
    <col min="12" max="12" width="12.77734375" bestFit="1" customWidth="1"/>
    <col min="14" max="14" width="12.5546875" bestFit="1" customWidth="1"/>
    <col min="15" max="15" width="11.109375" bestFit="1" customWidth="1"/>
  </cols>
  <sheetData>
    <row r="1" spans="1:16" s="23" customFormat="1" x14ac:dyDescent="0.3">
      <c r="A1" s="23" t="s">
        <v>84</v>
      </c>
    </row>
    <row r="2" spans="1:16" ht="15" thickBot="1" x14ac:dyDescent="0.35"/>
    <row r="3" spans="1:16" ht="15" thickBot="1" x14ac:dyDescent="0.35">
      <c r="N3" s="11" t="s">
        <v>205</v>
      </c>
      <c r="O3" s="12"/>
      <c r="P3" s="13"/>
    </row>
    <row r="4" spans="1:16" x14ac:dyDescent="0.3">
      <c r="A4" s="1" t="s">
        <v>85</v>
      </c>
      <c r="B4" s="1" t="s">
        <v>86</v>
      </c>
      <c r="C4" s="1" t="s">
        <v>87</v>
      </c>
      <c r="D4" s="1" t="s">
        <v>88</v>
      </c>
      <c r="E4" s="1" t="s">
        <v>89</v>
      </c>
      <c r="F4" s="1" t="s">
        <v>62</v>
      </c>
      <c r="G4" s="1" t="s">
        <v>90</v>
      </c>
      <c r="H4" s="1" t="s">
        <v>91</v>
      </c>
      <c r="I4" s="1" t="s">
        <v>92</v>
      </c>
      <c r="J4" s="1" t="s">
        <v>93</v>
      </c>
      <c r="K4" s="1" t="s">
        <v>94</v>
      </c>
      <c r="L4" s="1" t="s">
        <v>95</v>
      </c>
      <c r="N4" t="s">
        <v>62</v>
      </c>
      <c r="O4" t="str">
        <f>VLOOKUP(N4,$F$2:$H$53,3,FALSE)</f>
        <v>Unit Price (?)</v>
      </c>
    </row>
    <row r="5" spans="1:16" x14ac:dyDescent="0.3">
      <c r="A5" s="2">
        <v>1001</v>
      </c>
      <c r="B5" s="3">
        <v>45658</v>
      </c>
      <c r="C5" s="2" t="s">
        <v>96</v>
      </c>
      <c r="D5" s="2" t="s">
        <v>97</v>
      </c>
      <c r="E5" s="2" t="s">
        <v>98</v>
      </c>
      <c r="F5" s="2" t="s">
        <v>99</v>
      </c>
      <c r="G5" s="2">
        <v>10</v>
      </c>
      <c r="H5" s="2">
        <v>999</v>
      </c>
      <c r="I5" s="2">
        <v>999</v>
      </c>
      <c r="J5" s="2">
        <v>998001</v>
      </c>
      <c r="K5" s="2">
        <v>28</v>
      </c>
      <c r="L5" s="2" t="s">
        <v>100</v>
      </c>
    </row>
    <row r="6" spans="1:16" x14ac:dyDescent="0.3">
      <c r="A6" s="2">
        <v>1003</v>
      </c>
      <c r="B6" s="3">
        <v>45660</v>
      </c>
      <c r="C6" s="2" t="s">
        <v>101</v>
      </c>
      <c r="D6" s="2" t="s">
        <v>102</v>
      </c>
      <c r="E6" s="2" t="s">
        <v>103</v>
      </c>
      <c r="F6" s="2" t="s">
        <v>104</v>
      </c>
      <c r="G6" s="2">
        <v>3</v>
      </c>
      <c r="H6" s="2">
        <v>1999</v>
      </c>
      <c r="I6" s="2">
        <v>5997</v>
      </c>
      <c r="J6" s="2">
        <v>25</v>
      </c>
      <c r="K6" s="2">
        <v>40</v>
      </c>
      <c r="L6" s="2" t="s">
        <v>105</v>
      </c>
    </row>
    <row r="7" spans="1:16" x14ac:dyDescent="0.3">
      <c r="A7" s="2">
        <v>1004</v>
      </c>
      <c r="B7" s="3">
        <v>45661</v>
      </c>
      <c r="C7" s="2" t="s">
        <v>106</v>
      </c>
      <c r="D7" s="2" t="s">
        <v>107</v>
      </c>
      <c r="E7" s="2" t="s">
        <v>98</v>
      </c>
      <c r="F7" s="2" t="s">
        <v>108</v>
      </c>
      <c r="G7" s="2">
        <v>6</v>
      </c>
      <c r="H7" s="2">
        <v>2499</v>
      </c>
      <c r="I7" s="2">
        <v>9996</v>
      </c>
      <c r="J7" s="2">
        <v>30</v>
      </c>
      <c r="K7" s="2">
        <v>24</v>
      </c>
      <c r="L7" s="2" t="s">
        <v>109</v>
      </c>
    </row>
    <row r="8" spans="1:16" x14ac:dyDescent="0.3">
      <c r="A8" s="2">
        <v>1005</v>
      </c>
      <c r="B8" s="3">
        <v>45662</v>
      </c>
      <c r="C8" s="2" t="s">
        <v>110</v>
      </c>
      <c r="D8" s="2" t="s">
        <v>97</v>
      </c>
      <c r="E8" s="2" t="s">
        <v>111</v>
      </c>
      <c r="F8" s="2" t="s">
        <v>112</v>
      </c>
      <c r="G8" s="2">
        <v>8</v>
      </c>
      <c r="H8" s="2">
        <v>2999</v>
      </c>
      <c r="I8" s="2">
        <v>14995</v>
      </c>
      <c r="J8" s="2">
        <v>18</v>
      </c>
      <c r="K8" s="2">
        <v>31</v>
      </c>
      <c r="L8" s="2" t="s">
        <v>100</v>
      </c>
    </row>
    <row r="9" spans="1:16" x14ac:dyDescent="0.3">
      <c r="A9" s="2">
        <v>1006</v>
      </c>
      <c r="B9" s="3">
        <v>45663</v>
      </c>
      <c r="C9" s="2" t="s">
        <v>113</v>
      </c>
      <c r="D9" s="2" t="s">
        <v>114</v>
      </c>
      <c r="E9" s="2" t="s">
        <v>103</v>
      </c>
      <c r="F9" s="2" t="s">
        <v>115</v>
      </c>
      <c r="G9" s="2">
        <v>3</v>
      </c>
      <c r="H9" s="2">
        <v>999</v>
      </c>
      <c r="I9" s="2">
        <v>4995</v>
      </c>
      <c r="J9" s="2">
        <v>15</v>
      </c>
      <c r="K9" s="2">
        <v>29</v>
      </c>
      <c r="L9" s="2" t="s">
        <v>116</v>
      </c>
    </row>
    <row r="10" spans="1:16" x14ac:dyDescent="0.3">
      <c r="A10" s="2">
        <v>1007</v>
      </c>
      <c r="B10" s="3">
        <v>45664</v>
      </c>
      <c r="C10" s="2" t="s">
        <v>117</v>
      </c>
      <c r="D10" s="2" t="s">
        <v>102</v>
      </c>
      <c r="E10" s="2" t="s">
        <v>98</v>
      </c>
      <c r="F10" s="2" t="s">
        <v>118</v>
      </c>
      <c r="G10" s="2">
        <v>9</v>
      </c>
      <c r="H10" s="2">
        <v>1499</v>
      </c>
      <c r="I10" s="2">
        <v>2998</v>
      </c>
      <c r="J10" s="2">
        <v>20</v>
      </c>
      <c r="K10" s="2">
        <v>45</v>
      </c>
      <c r="L10" s="2" t="s">
        <v>105</v>
      </c>
    </row>
    <row r="11" spans="1:16" x14ac:dyDescent="0.3">
      <c r="A11" s="2">
        <v>1008</v>
      </c>
      <c r="B11" s="3">
        <v>45665</v>
      </c>
      <c r="C11" s="2" t="s">
        <v>119</v>
      </c>
      <c r="D11" s="2" t="s">
        <v>107</v>
      </c>
      <c r="E11" s="2" t="s">
        <v>111</v>
      </c>
      <c r="F11" s="2" t="s">
        <v>120</v>
      </c>
      <c r="G11" s="2">
        <v>5</v>
      </c>
      <c r="H11" s="2">
        <v>1999</v>
      </c>
      <c r="I11" s="2">
        <v>5997</v>
      </c>
      <c r="J11" s="2">
        <v>25</v>
      </c>
      <c r="K11" s="2">
        <v>32</v>
      </c>
      <c r="L11" s="2" t="s">
        <v>109</v>
      </c>
    </row>
    <row r="12" spans="1:16" x14ac:dyDescent="0.3">
      <c r="A12" s="2">
        <v>1009</v>
      </c>
      <c r="B12" s="3">
        <v>45666</v>
      </c>
      <c r="C12" s="2" t="s">
        <v>121</v>
      </c>
      <c r="D12" s="2" t="s">
        <v>97</v>
      </c>
      <c r="E12" s="2" t="s">
        <v>103</v>
      </c>
      <c r="F12" s="2" t="s">
        <v>122</v>
      </c>
      <c r="G12" s="2">
        <v>2</v>
      </c>
      <c r="H12" s="2">
        <v>2499</v>
      </c>
      <c r="I12" s="2">
        <v>19992</v>
      </c>
      <c r="J12" s="2">
        <v>30</v>
      </c>
      <c r="K12" s="2">
        <v>27</v>
      </c>
      <c r="L12" s="2" t="s">
        <v>100</v>
      </c>
    </row>
    <row r="13" spans="1:16" x14ac:dyDescent="0.3">
      <c r="A13" s="2">
        <v>10010</v>
      </c>
      <c r="B13" s="3">
        <v>45667</v>
      </c>
      <c r="C13" s="2" t="s">
        <v>123</v>
      </c>
      <c r="D13" s="2" t="s">
        <v>114</v>
      </c>
      <c r="E13" s="2" t="s">
        <v>98</v>
      </c>
      <c r="F13" s="2" t="s">
        <v>124</v>
      </c>
      <c r="G13" s="2">
        <v>7</v>
      </c>
      <c r="H13" s="2">
        <v>2999</v>
      </c>
      <c r="I13" s="2">
        <v>14995</v>
      </c>
      <c r="J13" s="2">
        <v>18</v>
      </c>
      <c r="K13" s="2">
        <v>39</v>
      </c>
      <c r="L13" s="2" t="s">
        <v>116</v>
      </c>
    </row>
    <row r="14" spans="1:16" x14ac:dyDescent="0.3">
      <c r="A14" s="2">
        <v>10011</v>
      </c>
      <c r="B14" s="3">
        <v>45668</v>
      </c>
      <c r="C14" s="2" t="s">
        <v>125</v>
      </c>
      <c r="D14" s="2" t="s">
        <v>102</v>
      </c>
      <c r="E14" s="2" t="s">
        <v>111</v>
      </c>
      <c r="F14" s="2" t="s">
        <v>126</v>
      </c>
      <c r="G14" s="2">
        <v>10</v>
      </c>
      <c r="H14" s="2">
        <v>999</v>
      </c>
      <c r="I14" s="2">
        <v>999</v>
      </c>
      <c r="J14" s="2">
        <v>15</v>
      </c>
      <c r="K14" s="2">
        <v>28</v>
      </c>
      <c r="L14" s="2" t="s">
        <v>105</v>
      </c>
    </row>
    <row r="15" spans="1:16" x14ac:dyDescent="0.3">
      <c r="A15" s="2">
        <v>10012</v>
      </c>
      <c r="B15" s="3">
        <v>45669</v>
      </c>
      <c r="C15" s="2" t="s">
        <v>127</v>
      </c>
      <c r="D15" s="2" t="s">
        <v>107</v>
      </c>
      <c r="E15" s="2" t="s">
        <v>103</v>
      </c>
      <c r="F15" s="2" t="s">
        <v>128</v>
      </c>
      <c r="G15" s="2">
        <v>3</v>
      </c>
      <c r="H15" s="2">
        <v>1499</v>
      </c>
      <c r="I15" s="2">
        <v>11992</v>
      </c>
      <c r="J15" s="2">
        <v>20</v>
      </c>
      <c r="K15" s="2">
        <v>35</v>
      </c>
      <c r="L15" s="2" t="s">
        <v>109</v>
      </c>
    </row>
    <row r="16" spans="1:16" x14ac:dyDescent="0.3">
      <c r="A16" s="2">
        <v>10013</v>
      </c>
      <c r="B16" s="3">
        <v>45670</v>
      </c>
      <c r="C16" s="2" t="s">
        <v>129</v>
      </c>
      <c r="D16" s="2" t="s">
        <v>97</v>
      </c>
      <c r="E16" s="2" t="s">
        <v>98</v>
      </c>
      <c r="F16" s="2" t="s">
        <v>130</v>
      </c>
      <c r="G16" s="2">
        <v>3</v>
      </c>
      <c r="H16" s="2">
        <v>1999</v>
      </c>
      <c r="I16" s="2">
        <v>5997</v>
      </c>
      <c r="J16" s="2">
        <v>25</v>
      </c>
      <c r="K16" s="2">
        <v>40</v>
      </c>
      <c r="L16" s="2" t="s">
        <v>100</v>
      </c>
    </row>
    <row r="17" spans="1:12" x14ac:dyDescent="0.3">
      <c r="A17" s="2">
        <v>10014</v>
      </c>
      <c r="B17" s="3">
        <v>45671</v>
      </c>
      <c r="C17" s="2" t="s">
        <v>131</v>
      </c>
      <c r="D17" s="2" t="s">
        <v>114</v>
      </c>
      <c r="E17" s="2" t="s">
        <v>111</v>
      </c>
      <c r="F17" s="2" t="s">
        <v>132</v>
      </c>
      <c r="G17" s="2">
        <v>6</v>
      </c>
      <c r="H17" s="2">
        <v>2499</v>
      </c>
      <c r="I17" s="2">
        <v>9996</v>
      </c>
      <c r="J17" s="2">
        <v>30</v>
      </c>
      <c r="K17" s="2">
        <v>24</v>
      </c>
      <c r="L17" s="2" t="s">
        <v>116</v>
      </c>
    </row>
    <row r="18" spans="1:12" x14ac:dyDescent="0.3">
      <c r="A18" s="2">
        <v>10015</v>
      </c>
      <c r="B18" s="3">
        <v>45672</v>
      </c>
      <c r="C18" s="2" t="s">
        <v>133</v>
      </c>
      <c r="D18" s="2" t="s">
        <v>102</v>
      </c>
      <c r="E18" s="2" t="s">
        <v>103</v>
      </c>
      <c r="F18" s="2" t="s">
        <v>134</v>
      </c>
      <c r="G18" s="2">
        <v>6</v>
      </c>
      <c r="H18" s="2">
        <v>2999</v>
      </c>
      <c r="I18" s="2">
        <v>14995</v>
      </c>
      <c r="J18" s="2">
        <v>18</v>
      </c>
      <c r="K18" s="2">
        <v>31</v>
      </c>
      <c r="L18" s="2" t="s">
        <v>105</v>
      </c>
    </row>
    <row r="19" spans="1:12" x14ac:dyDescent="0.3">
      <c r="A19" s="2">
        <v>10016</v>
      </c>
      <c r="B19" s="3">
        <v>45673</v>
      </c>
      <c r="C19" s="2" t="s">
        <v>135</v>
      </c>
      <c r="D19" s="2" t="s">
        <v>107</v>
      </c>
      <c r="E19" s="2" t="s">
        <v>98</v>
      </c>
      <c r="F19" s="2" t="s">
        <v>136</v>
      </c>
      <c r="G19" s="2">
        <v>10</v>
      </c>
      <c r="H19" s="2">
        <v>999</v>
      </c>
      <c r="I19" s="2">
        <v>5994</v>
      </c>
      <c r="J19" s="2">
        <v>15</v>
      </c>
      <c r="K19" s="2">
        <v>29</v>
      </c>
      <c r="L19" s="2" t="s">
        <v>109</v>
      </c>
    </row>
    <row r="20" spans="1:12" x14ac:dyDescent="0.3">
      <c r="A20" s="2">
        <v>10017</v>
      </c>
      <c r="B20" s="3">
        <v>45674</v>
      </c>
      <c r="C20" s="2" t="s">
        <v>137</v>
      </c>
      <c r="D20" s="2" t="s">
        <v>97</v>
      </c>
      <c r="E20" s="2" t="s">
        <v>111</v>
      </c>
      <c r="F20" s="2" t="s">
        <v>138</v>
      </c>
      <c r="G20" s="2">
        <v>4</v>
      </c>
      <c r="H20" s="2">
        <v>1499</v>
      </c>
      <c r="I20" s="2">
        <v>2998</v>
      </c>
      <c r="J20" s="2">
        <v>20</v>
      </c>
      <c r="K20" s="2">
        <v>45</v>
      </c>
      <c r="L20" s="2" t="s">
        <v>100</v>
      </c>
    </row>
    <row r="21" spans="1:12" x14ac:dyDescent="0.3">
      <c r="A21" s="2">
        <v>10018</v>
      </c>
      <c r="B21" s="3">
        <v>45675</v>
      </c>
      <c r="C21" s="2" t="s">
        <v>139</v>
      </c>
      <c r="D21" s="2" t="s">
        <v>114</v>
      </c>
      <c r="E21" s="2" t="s">
        <v>103</v>
      </c>
      <c r="F21" s="2" t="s">
        <v>140</v>
      </c>
      <c r="G21" s="2">
        <v>5</v>
      </c>
      <c r="H21" s="2">
        <v>1999</v>
      </c>
      <c r="I21" s="2">
        <v>13993</v>
      </c>
      <c r="J21" s="2">
        <v>25</v>
      </c>
      <c r="K21" s="2">
        <v>32</v>
      </c>
      <c r="L21" s="2" t="s">
        <v>116</v>
      </c>
    </row>
    <row r="22" spans="1:12" x14ac:dyDescent="0.3">
      <c r="A22" s="2">
        <v>10019</v>
      </c>
      <c r="B22" s="3">
        <v>45676</v>
      </c>
      <c r="C22" s="2" t="s">
        <v>141</v>
      </c>
      <c r="D22" s="2" t="s">
        <v>102</v>
      </c>
      <c r="E22" s="2" t="s">
        <v>98</v>
      </c>
      <c r="F22" s="2" t="s">
        <v>142</v>
      </c>
      <c r="G22" s="2">
        <v>7</v>
      </c>
      <c r="H22" s="2">
        <v>2499</v>
      </c>
      <c r="I22" s="2">
        <v>9996</v>
      </c>
      <c r="J22" s="2">
        <v>30</v>
      </c>
      <c r="K22" s="2">
        <v>27</v>
      </c>
      <c r="L22" s="2" t="s">
        <v>105</v>
      </c>
    </row>
    <row r="23" spans="1:12" x14ac:dyDescent="0.3">
      <c r="A23" s="2">
        <v>10020</v>
      </c>
      <c r="B23" s="3">
        <v>45677</v>
      </c>
      <c r="C23" s="2" t="s">
        <v>143</v>
      </c>
      <c r="D23" s="2" t="s">
        <v>107</v>
      </c>
      <c r="E23" s="2" t="s">
        <v>111</v>
      </c>
      <c r="F23" s="2" t="s">
        <v>144</v>
      </c>
      <c r="G23" s="2">
        <v>6</v>
      </c>
      <c r="H23" s="2">
        <v>2999</v>
      </c>
      <c r="I23" s="2">
        <v>14995</v>
      </c>
      <c r="J23" s="2">
        <v>18</v>
      </c>
      <c r="K23" s="2">
        <v>39</v>
      </c>
      <c r="L23" s="2" t="s">
        <v>109</v>
      </c>
    </row>
    <row r="24" spans="1:12" x14ac:dyDescent="0.3">
      <c r="A24" s="2">
        <v>10021</v>
      </c>
      <c r="B24" s="3">
        <v>45678</v>
      </c>
      <c r="C24" s="2" t="s">
        <v>145</v>
      </c>
      <c r="D24" s="2" t="s">
        <v>97</v>
      </c>
      <c r="E24" s="2" t="s">
        <v>103</v>
      </c>
      <c r="F24" s="2" t="s">
        <v>146</v>
      </c>
      <c r="G24" s="2">
        <v>7</v>
      </c>
      <c r="H24" s="2">
        <v>999</v>
      </c>
      <c r="I24" s="2">
        <v>999</v>
      </c>
      <c r="J24" s="2">
        <v>15</v>
      </c>
      <c r="K24" s="2">
        <v>28</v>
      </c>
      <c r="L24" s="2" t="s">
        <v>100</v>
      </c>
    </row>
    <row r="25" spans="1:12" x14ac:dyDescent="0.3">
      <c r="A25" s="2">
        <v>10022</v>
      </c>
      <c r="B25" s="3">
        <v>45679</v>
      </c>
      <c r="C25" s="2" t="s">
        <v>147</v>
      </c>
      <c r="D25" s="2" t="s">
        <v>114</v>
      </c>
      <c r="E25" s="2" t="s">
        <v>98</v>
      </c>
      <c r="F25" s="2" t="s">
        <v>148</v>
      </c>
      <c r="G25" s="2">
        <v>3</v>
      </c>
      <c r="H25" s="2">
        <v>1499</v>
      </c>
      <c r="I25" s="2">
        <v>17988</v>
      </c>
      <c r="J25" s="2">
        <v>20</v>
      </c>
      <c r="K25" s="2">
        <v>35</v>
      </c>
      <c r="L25" s="2" t="s">
        <v>116</v>
      </c>
    </row>
    <row r="26" spans="1:12" x14ac:dyDescent="0.3">
      <c r="A26" s="2">
        <v>10023</v>
      </c>
      <c r="B26" s="3">
        <v>45680</v>
      </c>
      <c r="C26" s="2" t="s">
        <v>149</v>
      </c>
      <c r="D26" s="2" t="s">
        <v>102</v>
      </c>
      <c r="E26" s="2" t="s">
        <v>111</v>
      </c>
      <c r="F26" s="2" t="s">
        <v>150</v>
      </c>
      <c r="G26" s="2">
        <v>4</v>
      </c>
      <c r="H26" s="2">
        <v>1999</v>
      </c>
      <c r="I26" s="2">
        <v>5997</v>
      </c>
      <c r="J26" s="2">
        <v>25</v>
      </c>
      <c r="K26" s="2">
        <v>40</v>
      </c>
      <c r="L26" s="2" t="s">
        <v>105</v>
      </c>
    </row>
    <row r="27" spans="1:12" x14ac:dyDescent="0.3">
      <c r="A27" s="2">
        <v>10024</v>
      </c>
      <c r="B27" s="3">
        <v>45681</v>
      </c>
      <c r="C27" s="2" t="s">
        <v>151</v>
      </c>
      <c r="D27" s="2" t="s">
        <v>107</v>
      </c>
      <c r="E27" s="2" t="s">
        <v>103</v>
      </c>
      <c r="F27" s="2" t="s">
        <v>152</v>
      </c>
      <c r="G27" s="2">
        <v>10</v>
      </c>
      <c r="H27" s="2">
        <v>2499</v>
      </c>
      <c r="I27" s="2">
        <v>9996</v>
      </c>
      <c r="J27" s="2">
        <v>30</v>
      </c>
      <c r="K27" s="2">
        <v>24</v>
      </c>
      <c r="L27" s="2" t="s">
        <v>109</v>
      </c>
    </row>
    <row r="28" spans="1:12" x14ac:dyDescent="0.3">
      <c r="A28" s="2">
        <v>10025</v>
      </c>
      <c r="B28" s="3">
        <v>45682</v>
      </c>
      <c r="C28" s="2" t="s">
        <v>153</v>
      </c>
      <c r="D28" s="2" t="s">
        <v>97</v>
      </c>
      <c r="E28" s="2" t="s">
        <v>98</v>
      </c>
      <c r="F28" s="2" t="s">
        <v>154</v>
      </c>
      <c r="G28" s="2">
        <v>8</v>
      </c>
      <c r="H28" s="2">
        <v>2999</v>
      </c>
      <c r="I28" s="2">
        <v>14995</v>
      </c>
      <c r="J28" s="2">
        <v>18</v>
      </c>
      <c r="K28" s="2">
        <v>31</v>
      </c>
      <c r="L28" s="2" t="s">
        <v>100</v>
      </c>
    </row>
    <row r="29" spans="1:12" x14ac:dyDescent="0.3">
      <c r="A29" s="2">
        <v>10026</v>
      </c>
      <c r="B29" s="3">
        <v>45683</v>
      </c>
      <c r="C29" s="2" t="s">
        <v>155</v>
      </c>
      <c r="D29" s="2" t="s">
        <v>114</v>
      </c>
      <c r="E29" s="2" t="s">
        <v>111</v>
      </c>
      <c r="F29" s="2" t="s">
        <v>156</v>
      </c>
      <c r="G29" s="2">
        <v>4</v>
      </c>
      <c r="H29" s="2">
        <v>999</v>
      </c>
      <c r="I29" s="2">
        <v>2997</v>
      </c>
      <c r="J29" s="2">
        <v>15</v>
      </c>
      <c r="K29" s="2">
        <v>29</v>
      </c>
      <c r="L29" s="2" t="s">
        <v>116</v>
      </c>
    </row>
    <row r="30" spans="1:12" x14ac:dyDescent="0.3">
      <c r="A30" s="2">
        <v>10027</v>
      </c>
      <c r="B30" s="3">
        <v>45684</v>
      </c>
      <c r="C30" s="2" t="s">
        <v>157</v>
      </c>
      <c r="D30" s="2" t="s">
        <v>102</v>
      </c>
      <c r="E30" s="2" t="s">
        <v>103</v>
      </c>
      <c r="F30" s="2" t="s">
        <v>158</v>
      </c>
      <c r="G30" s="2">
        <v>3</v>
      </c>
      <c r="H30" s="2">
        <v>1499</v>
      </c>
      <c r="I30" s="2">
        <v>2998</v>
      </c>
      <c r="J30" s="2">
        <v>20</v>
      </c>
      <c r="K30" s="2">
        <v>45</v>
      </c>
      <c r="L30" s="2" t="s">
        <v>105</v>
      </c>
    </row>
    <row r="31" spans="1:12" x14ac:dyDescent="0.3">
      <c r="A31" s="2">
        <v>10028</v>
      </c>
      <c r="B31" s="3">
        <v>45685</v>
      </c>
      <c r="C31" s="2" t="s">
        <v>159</v>
      </c>
      <c r="D31" s="2" t="s">
        <v>107</v>
      </c>
      <c r="E31" s="2" t="s">
        <v>98</v>
      </c>
      <c r="F31" s="2" t="s">
        <v>160</v>
      </c>
      <c r="G31" s="2">
        <v>6</v>
      </c>
      <c r="H31" s="2">
        <v>1999</v>
      </c>
      <c r="I31" s="2">
        <v>5997</v>
      </c>
      <c r="J31" s="2">
        <v>25</v>
      </c>
      <c r="K31" s="2">
        <v>32</v>
      </c>
      <c r="L31" s="2" t="s">
        <v>109</v>
      </c>
    </row>
    <row r="32" spans="1:12" x14ac:dyDescent="0.3">
      <c r="A32" s="2">
        <v>10029</v>
      </c>
      <c r="B32" s="3">
        <v>45686</v>
      </c>
      <c r="C32" s="2" t="s">
        <v>161</v>
      </c>
      <c r="D32" s="2" t="s">
        <v>97</v>
      </c>
      <c r="E32" s="2" t="s">
        <v>111</v>
      </c>
      <c r="F32" s="2" t="s">
        <v>162</v>
      </c>
      <c r="G32" s="2">
        <v>7</v>
      </c>
      <c r="H32" s="2">
        <v>2499</v>
      </c>
      <c r="I32" s="2">
        <v>9996</v>
      </c>
      <c r="J32" s="2">
        <v>30</v>
      </c>
      <c r="K32" s="2">
        <v>27</v>
      </c>
      <c r="L32" s="2" t="s">
        <v>100</v>
      </c>
    </row>
    <row r="33" spans="1:12" x14ac:dyDescent="0.3">
      <c r="A33" s="2">
        <v>10030</v>
      </c>
      <c r="B33" s="3">
        <v>45687</v>
      </c>
      <c r="C33" s="2" t="s">
        <v>163</v>
      </c>
      <c r="D33" s="2" t="s">
        <v>114</v>
      </c>
      <c r="E33" s="2" t="s">
        <v>103</v>
      </c>
      <c r="F33" s="2" t="s">
        <v>164</v>
      </c>
      <c r="G33" s="2">
        <v>6</v>
      </c>
      <c r="H33" s="2">
        <v>2999</v>
      </c>
      <c r="I33" s="2">
        <v>26991</v>
      </c>
      <c r="J33" s="2">
        <v>18</v>
      </c>
      <c r="K33" s="2">
        <v>39</v>
      </c>
      <c r="L33" s="2" t="s">
        <v>116</v>
      </c>
    </row>
    <row r="34" spans="1:12" x14ac:dyDescent="0.3">
      <c r="A34" s="2">
        <v>10031</v>
      </c>
      <c r="B34" s="3">
        <v>45688</v>
      </c>
      <c r="C34" s="2" t="s">
        <v>165</v>
      </c>
      <c r="D34" s="2" t="s">
        <v>102</v>
      </c>
      <c r="E34" s="2" t="s">
        <v>98</v>
      </c>
      <c r="F34" s="2" t="s">
        <v>166</v>
      </c>
      <c r="G34" s="2">
        <v>3</v>
      </c>
      <c r="H34" s="2">
        <v>999</v>
      </c>
      <c r="I34" s="2">
        <v>999</v>
      </c>
      <c r="J34" s="2">
        <v>15</v>
      </c>
      <c r="K34" s="2">
        <v>28</v>
      </c>
      <c r="L34" s="2" t="s">
        <v>105</v>
      </c>
    </row>
    <row r="35" spans="1:12" x14ac:dyDescent="0.3">
      <c r="A35" s="2">
        <v>10032</v>
      </c>
      <c r="B35" s="3">
        <v>45689</v>
      </c>
      <c r="C35" s="2" t="s">
        <v>167</v>
      </c>
      <c r="D35" s="2" t="s">
        <v>107</v>
      </c>
      <c r="E35" s="2" t="s">
        <v>111</v>
      </c>
      <c r="F35" s="2" t="s">
        <v>168</v>
      </c>
      <c r="G35" s="2">
        <v>3</v>
      </c>
      <c r="H35" s="2">
        <v>1499</v>
      </c>
      <c r="I35" s="2">
        <v>2998</v>
      </c>
      <c r="J35" s="2">
        <v>20</v>
      </c>
      <c r="K35" s="2">
        <v>35</v>
      </c>
      <c r="L35" s="2" t="s">
        <v>109</v>
      </c>
    </row>
    <row r="36" spans="1:12" x14ac:dyDescent="0.3">
      <c r="A36" s="2">
        <v>10033</v>
      </c>
      <c r="B36" s="3">
        <v>45690</v>
      </c>
      <c r="C36" s="2" t="s">
        <v>169</v>
      </c>
      <c r="D36" s="2" t="s">
        <v>97</v>
      </c>
      <c r="E36" s="2" t="s">
        <v>103</v>
      </c>
      <c r="F36" s="2" t="s">
        <v>170</v>
      </c>
      <c r="G36" s="2">
        <v>7</v>
      </c>
      <c r="H36" s="2">
        <v>1999</v>
      </c>
      <c r="I36" s="2">
        <v>5997</v>
      </c>
      <c r="J36" s="2">
        <v>25</v>
      </c>
      <c r="K36" s="2">
        <v>40</v>
      </c>
      <c r="L36" s="2" t="s">
        <v>100</v>
      </c>
    </row>
    <row r="37" spans="1:12" x14ac:dyDescent="0.3">
      <c r="A37" s="2">
        <v>10034</v>
      </c>
      <c r="B37" s="3">
        <v>45691</v>
      </c>
      <c r="C37" s="2" t="s">
        <v>171</v>
      </c>
      <c r="D37" s="2" t="s">
        <v>114</v>
      </c>
      <c r="E37" s="2" t="s">
        <v>98</v>
      </c>
      <c r="F37" s="2" t="s">
        <v>172</v>
      </c>
      <c r="G37" s="2">
        <v>10</v>
      </c>
      <c r="H37" s="2">
        <v>2499</v>
      </c>
      <c r="I37" s="2">
        <v>9996</v>
      </c>
      <c r="J37" s="2">
        <v>30</v>
      </c>
      <c r="K37" s="2">
        <v>24</v>
      </c>
      <c r="L37" s="2" t="s">
        <v>116</v>
      </c>
    </row>
    <row r="38" spans="1:12" x14ac:dyDescent="0.3">
      <c r="A38" s="2">
        <v>10035</v>
      </c>
      <c r="B38" s="3">
        <v>45692</v>
      </c>
      <c r="C38" s="2" t="s">
        <v>173</v>
      </c>
      <c r="D38" s="2" t="s">
        <v>102</v>
      </c>
      <c r="E38" s="2" t="s">
        <v>111</v>
      </c>
      <c r="F38" s="2" t="s">
        <v>174</v>
      </c>
      <c r="G38" s="2">
        <v>2</v>
      </c>
      <c r="H38" s="2">
        <v>2999</v>
      </c>
      <c r="I38" s="2">
        <v>14995</v>
      </c>
      <c r="J38" s="2">
        <v>18</v>
      </c>
      <c r="K38" s="2">
        <v>31</v>
      </c>
      <c r="L38" s="2" t="s">
        <v>105</v>
      </c>
    </row>
    <row r="39" spans="1:12" x14ac:dyDescent="0.3">
      <c r="A39" s="2">
        <v>10036</v>
      </c>
      <c r="B39" s="3">
        <v>45693</v>
      </c>
      <c r="C39" s="2" t="s">
        <v>175</v>
      </c>
      <c r="D39" s="2" t="s">
        <v>107</v>
      </c>
      <c r="E39" s="2" t="s">
        <v>103</v>
      </c>
      <c r="F39" s="2" t="s">
        <v>176</v>
      </c>
      <c r="G39" s="2">
        <v>6</v>
      </c>
      <c r="H39" s="2">
        <v>999</v>
      </c>
      <c r="I39" s="2">
        <v>999</v>
      </c>
      <c r="J39" s="2">
        <v>15</v>
      </c>
      <c r="K39" s="2">
        <v>29</v>
      </c>
      <c r="L39" s="2" t="s">
        <v>109</v>
      </c>
    </row>
    <row r="40" spans="1:12" x14ac:dyDescent="0.3">
      <c r="A40" s="2">
        <v>10037</v>
      </c>
      <c r="B40" s="3">
        <v>45694</v>
      </c>
      <c r="C40" s="2" t="s">
        <v>177</v>
      </c>
      <c r="D40" s="2" t="s">
        <v>97</v>
      </c>
      <c r="E40" s="2" t="s">
        <v>98</v>
      </c>
      <c r="F40" s="2" t="s">
        <v>178</v>
      </c>
      <c r="G40" s="2">
        <v>7</v>
      </c>
      <c r="H40" s="2">
        <v>1499</v>
      </c>
      <c r="I40" s="2">
        <v>2998</v>
      </c>
      <c r="J40" s="2">
        <v>20</v>
      </c>
      <c r="K40" s="2">
        <v>45</v>
      </c>
      <c r="L40" s="2" t="s">
        <v>100</v>
      </c>
    </row>
    <row r="41" spans="1:12" x14ac:dyDescent="0.3">
      <c r="A41" s="2">
        <v>10038</v>
      </c>
      <c r="B41" s="3">
        <v>45695</v>
      </c>
      <c r="C41" s="2" t="s">
        <v>179</v>
      </c>
      <c r="D41" s="2" t="s">
        <v>114</v>
      </c>
      <c r="E41" s="2" t="s">
        <v>111</v>
      </c>
      <c r="F41" s="2" t="s">
        <v>180</v>
      </c>
      <c r="G41" s="2">
        <v>10</v>
      </c>
      <c r="H41" s="2">
        <v>1999</v>
      </c>
      <c r="I41" s="2">
        <v>3998</v>
      </c>
      <c r="J41" s="2">
        <v>25</v>
      </c>
      <c r="K41" s="2">
        <v>32</v>
      </c>
      <c r="L41" s="2" t="s">
        <v>116</v>
      </c>
    </row>
    <row r="42" spans="1:12" x14ac:dyDescent="0.3">
      <c r="A42" s="2">
        <v>10039</v>
      </c>
      <c r="B42" s="3">
        <v>45696</v>
      </c>
      <c r="C42" s="2" t="s">
        <v>181</v>
      </c>
      <c r="D42" s="2" t="s">
        <v>102</v>
      </c>
      <c r="E42" s="2" t="s">
        <v>103</v>
      </c>
      <c r="F42" s="2" t="s">
        <v>182</v>
      </c>
      <c r="G42" s="2">
        <v>7</v>
      </c>
      <c r="H42" s="2">
        <v>2499</v>
      </c>
      <c r="I42" s="2">
        <v>9996</v>
      </c>
      <c r="J42" s="2">
        <v>30</v>
      </c>
      <c r="K42" s="2">
        <v>27</v>
      </c>
      <c r="L42" s="2" t="s">
        <v>105</v>
      </c>
    </row>
    <row r="43" spans="1:12" x14ac:dyDescent="0.3">
      <c r="A43" s="2">
        <v>10040</v>
      </c>
      <c r="B43" s="3">
        <v>45697</v>
      </c>
      <c r="C43" s="2" t="s">
        <v>183</v>
      </c>
      <c r="D43" s="2" t="s">
        <v>107</v>
      </c>
      <c r="E43" s="2" t="s">
        <v>98</v>
      </c>
      <c r="F43" s="2" t="s">
        <v>184</v>
      </c>
      <c r="G43" s="2">
        <v>7</v>
      </c>
      <c r="H43" s="2">
        <v>2999</v>
      </c>
      <c r="I43" s="2">
        <v>8997</v>
      </c>
      <c r="J43" s="2">
        <v>18</v>
      </c>
      <c r="K43" s="2">
        <v>39</v>
      </c>
      <c r="L43" s="2" t="s">
        <v>109</v>
      </c>
    </row>
    <row r="44" spans="1:12" x14ac:dyDescent="0.3">
      <c r="A44" s="2">
        <v>10041</v>
      </c>
      <c r="B44" s="3">
        <v>45698</v>
      </c>
      <c r="C44" s="2" t="s">
        <v>185</v>
      </c>
      <c r="D44" s="2" t="s">
        <v>97</v>
      </c>
      <c r="E44" s="2" t="s">
        <v>111</v>
      </c>
      <c r="F44" s="2" t="s">
        <v>186</v>
      </c>
      <c r="G44" s="2">
        <v>5</v>
      </c>
      <c r="H44" s="2">
        <v>999</v>
      </c>
      <c r="I44" s="2">
        <v>999</v>
      </c>
      <c r="J44" s="2">
        <v>15</v>
      </c>
      <c r="K44" s="2">
        <v>28</v>
      </c>
      <c r="L44" s="2" t="s">
        <v>100</v>
      </c>
    </row>
    <row r="45" spans="1:12" x14ac:dyDescent="0.3">
      <c r="A45" s="2">
        <v>10042</v>
      </c>
      <c r="B45" s="3">
        <v>45699</v>
      </c>
      <c r="C45" s="2" t="s">
        <v>187</v>
      </c>
      <c r="D45" s="2" t="s">
        <v>114</v>
      </c>
      <c r="E45" s="2" t="s">
        <v>103</v>
      </c>
      <c r="F45" s="2" t="s">
        <v>188</v>
      </c>
      <c r="G45" s="2">
        <v>8</v>
      </c>
      <c r="H45" s="2">
        <v>1499</v>
      </c>
      <c r="I45" s="2">
        <v>2998</v>
      </c>
      <c r="J45" s="2">
        <v>20</v>
      </c>
      <c r="K45" s="2">
        <v>35</v>
      </c>
      <c r="L45" s="2" t="s">
        <v>116</v>
      </c>
    </row>
    <row r="46" spans="1:12" x14ac:dyDescent="0.3">
      <c r="A46" s="2">
        <v>10043</v>
      </c>
      <c r="B46" s="3">
        <v>45700</v>
      </c>
      <c r="C46" s="2" t="s">
        <v>189</v>
      </c>
      <c r="D46" s="2" t="s">
        <v>102</v>
      </c>
      <c r="E46" s="2" t="s">
        <v>98</v>
      </c>
      <c r="F46" s="2" t="s">
        <v>190</v>
      </c>
      <c r="G46" s="2">
        <v>1</v>
      </c>
      <c r="H46" s="2">
        <v>1999</v>
      </c>
      <c r="I46" s="2">
        <v>5997</v>
      </c>
      <c r="J46" s="2">
        <v>25</v>
      </c>
      <c r="K46" s="2">
        <v>40</v>
      </c>
      <c r="L46" s="2" t="s">
        <v>105</v>
      </c>
    </row>
    <row r="47" spans="1:12" x14ac:dyDescent="0.3">
      <c r="A47" s="2">
        <v>10044</v>
      </c>
      <c r="B47" s="3">
        <v>45701</v>
      </c>
      <c r="C47" s="2" t="s">
        <v>191</v>
      </c>
      <c r="D47" s="2" t="s">
        <v>107</v>
      </c>
      <c r="E47" s="2" t="s">
        <v>111</v>
      </c>
      <c r="F47" s="2" t="s">
        <v>192</v>
      </c>
      <c r="G47" s="2">
        <v>6</v>
      </c>
      <c r="H47" s="2">
        <v>2499</v>
      </c>
      <c r="I47" s="2">
        <v>9996</v>
      </c>
      <c r="J47" s="2">
        <v>30</v>
      </c>
      <c r="K47" s="2">
        <v>24</v>
      </c>
      <c r="L47" s="2" t="s">
        <v>109</v>
      </c>
    </row>
    <row r="48" spans="1:12" x14ac:dyDescent="0.3">
      <c r="A48" s="2">
        <v>10045</v>
      </c>
      <c r="B48" s="3">
        <v>45702</v>
      </c>
      <c r="C48" s="2" t="s">
        <v>193</v>
      </c>
      <c r="D48" s="2" t="s">
        <v>97</v>
      </c>
      <c r="E48" s="2" t="s">
        <v>103</v>
      </c>
      <c r="F48" s="2" t="s">
        <v>194</v>
      </c>
      <c r="G48" s="2">
        <v>6</v>
      </c>
      <c r="H48" s="2">
        <v>2999</v>
      </c>
      <c r="I48" s="2">
        <v>14995</v>
      </c>
      <c r="J48" s="2">
        <v>18</v>
      </c>
      <c r="K48" s="2">
        <v>31</v>
      </c>
      <c r="L48" s="2" t="s">
        <v>100</v>
      </c>
    </row>
    <row r="49" spans="1:12" x14ac:dyDescent="0.3">
      <c r="A49" s="2">
        <v>10046</v>
      </c>
      <c r="B49" s="3">
        <v>45703</v>
      </c>
      <c r="C49" s="2" t="s">
        <v>195</v>
      </c>
      <c r="D49" s="2" t="s">
        <v>114</v>
      </c>
      <c r="E49" s="2" t="s">
        <v>98</v>
      </c>
      <c r="F49" s="2" t="s">
        <v>196</v>
      </c>
      <c r="G49" s="2">
        <v>8</v>
      </c>
      <c r="H49" s="2">
        <v>999</v>
      </c>
      <c r="I49" s="2">
        <v>1998</v>
      </c>
      <c r="J49" s="2">
        <v>15</v>
      </c>
      <c r="K49" s="2">
        <v>29</v>
      </c>
      <c r="L49" s="2" t="s">
        <v>116</v>
      </c>
    </row>
    <row r="50" spans="1:12" x14ac:dyDescent="0.3">
      <c r="A50" s="2">
        <v>10047</v>
      </c>
      <c r="B50" s="3">
        <v>45704</v>
      </c>
      <c r="C50" s="2" t="s">
        <v>197</v>
      </c>
      <c r="D50" s="2" t="s">
        <v>102</v>
      </c>
      <c r="E50" s="2" t="s">
        <v>111</v>
      </c>
      <c r="F50" s="2" t="s">
        <v>198</v>
      </c>
      <c r="G50" s="2">
        <v>4</v>
      </c>
      <c r="H50" s="2">
        <v>1499</v>
      </c>
      <c r="I50" s="2">
        <v>2998</v>
      </c>
      <c r="J50" s="2">
        <v>20</v>
      </c>
      <c r="K50" s="2">
        <v>45</v>
      </c>
      <c r="L50" s="2" t="s">
        <v>105</v>
      </c>
    </row>
    <row r="51" spans="1:12" x14ac:dyDescent="0.3">
      <c r="A51" s="2">
        <v>10048</v>
      </c>
      <c r="B51" s="3">
        <v>45705</v>
      </c>
      <c r="C51" s="2" t="s">
        <v>199</v>
      </c>
      <c r="D51" s="2" t="s">
        <v>107</v>
      </c>
      <c r="E51" s="2" t="s">
        <v>103</v>
      </c>
      <c r="F51" s="2" t="s">
        <v>200</v>
      </c>
      <c r="G51" s="2">
        <v>6</v>
      </c>
      <c r="H51" s="2">
        <v>1999</v>
      </c>
      <c r="I51" s="2">
        <v>5997</v>
      </c>
      <c r="J51" s="2">
        <v>25</v>
      </c>
      <c r="K51" s="2">
        <v>32</v>
      </c>
      <c r="L51" s="2" t="s">
        <v>109</v>
      </c>
    </row>
    <row r="52" spans="1:12" x14ac:dyDescent="0.3">
      <c r="A52" s="2">
        <v>10049</v>
      </c>
      <c r="B52" s="3">
        <v>45706</v>
      </c>
      <c r="C52" s="2" t="s">
        <v>201</v>
      </c>
      <c r="D52" s="2" t="s">
        <v>97</v>
      </c>
      <c r="E52" s="2" t="s">
        <v>98</v>
      </c>
      <c r="F52" s="2" t="s">
        <v>202</v>
      </c>
      <c r="G52" s="2">
        <v>9</v>
      </c>
      <c r="H52" s="2">
        <v>2499</v>
      </c>
      <c r="I52" s="2">
        <v>22491</v>
      </c>
      <c r="J52" s="2">
        <v>30</v>
      </c>
      <c r="K52" s="2">
        <v>27</v>
      </c>
      <c r="L52" s="2" t="s">
        <v>100</v>
      </c>
    </row>
    <row r="53" spans="1:12" x14ac:dyDescent="0.3">
      <c r="A53" s="2">
        <v>10050</v>
      </c>
      <c r="B53" s="3">
        <v>45707</v>
      </c>
      <c r="C53" s="2" t="s">
        <v>203</v>
      </c>
      <c r="D53" s="2" t="s">
        <v>114</v>
      </c>
      <c r="E53" s="2" t="s">
        <v>111</v>
      </c>
      <c r="F53" s="2" t="s">
        <v>204</v>
      </c>
      <c r="G53" s="2">
        <v>8</v>
      </c>
      <c r="H53" s="2">
        <v>2999</v>
      </c>
      <c r="I53" s="2">
        <v>14995</v>
      </c>
      <c r="J53" s="2">
        <v>18</v>
      </c>
      <c r="K53" s="2">
        <v>39</v>
      </c>
      <c r="L53" s="2" t="s">
        <v>116</v>
      </c>
    </row>
  </sheetData>
  <mergeCells count="2">
    <mergeCell ref="N3:P3"/>
    <mergeCell ref="A1:XFD1"/>
  </mergeCells>
  <dataValidations count="1">
    <dataValidation type="list" allowBlank="1" showInputMessage="1" showErrorMessage="1" sqref="N4" xr:uid="{EF001823-8741-4F92-B67C-EC9957683D96}">
      <formula1>F2:F53</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56786-060A-462D-8F20-985BFC0F5DED}">
  <dimension ref="A1:R110"/>
  <sheetViews>
    <sheetView tabSelected="1" topLeftCell="A2" workbookViewId="0">
      <selection activeCell="G9" sqref="G9"/>
    </sheetView>
  </sheetViews>
  <sheetFormatPr defaultRowHeight="14.4" x14ac:dyDescent="0.3"/>
  <cols>
    <col min="2" max="2" width="6.44140625" bestFit="1" customWidth="1"/>
    <col min="3" max="3" width="7.21875" bestFit="1" customWidth="1"/>
    <col min="4" max="4" width="12" bestFit="1" customWidth="1"/>
    <col min="5" max="5" width="13.109375" bestFit="1" customWidth="1"/>
    <col min="6" max="6" width="10" bestFit="1" customWidth="1"/>
    <col min="7" max="7" width="11.21875" bestFit="1" customWidth="1"/>
    <col min="8" max="8" width="8" bestFit="1" customWidth="1"/>
    <col min="10" max="10" width="9" bestFit="1" customWidth="1"/>
    <col min="11" max="11" width="14.77734375" bestFit="1" customWidth="1"/>
    <col min="12" max="12" width="9" bestFit="1" customWidth="1"/>
    <col min="13" max="13" width="12.5546875" bestFit="1" customWidth="1"/>
    <col min="14" max="14" width="7.21875" bestFit="1" customWidth="1"/>
    <col min="16" max="16" width="16.88671875" customWidth="1"/>
    <col min="17" max="17" width="20.88671875" bestFit="1" customWidth="1"/>
    <col min="18" max="18" width="18.44140625" bestFit="1" customWidth="1"/>
  </cols>
  <sheetData>
    <row r="1" spans="1:18" s="23" customFormat="1" x14ac:dyDescent="0.3">
      <c r="A1" s="23" t="s">
        <v>206</v>
      </c>
    </row>
    <row r="2" spans="1:18" s="23" customFormat="1" x14ac:dyDescent="0.3">
      <c r="A2" s="23" t="s">
        <v>207</v>
      </c>
    </row>
    <row r="3" spans="1:18" s="23" customFormat="1" x14ac:dyDescent="0.3">
      <c r="A3" s="23" t="s">
        <v>208</v>
      </c>
    </row>
    <row r="4" spans="1:18" s="23" customFormat="1" x14ac:dyDescent="0.3">
      <c r="A4" s="23" t="s">
        <v>209</v>
      </c>
    </row>
    <row r="5" spans="1:18" s="23" customFormat="1" x14ac:dyDescent="0.3">
      <c r="A5" s="23" t="s">
        <v>210</v>
      </c>
    </row>
    <row r="6" spans="1:18" s="23" customFormat="1" x14ac:dyDescent="0.3">
      <c r="A6" s="23" t="s">
        <v>211</v>
      </c>
    </row>
    <row r="7" spans="1:18" s="23" customFormat="1" x14ac:dyDescent="0.3">
      <c r="A7" s="23" t="s">
        <v>212</v>
      </c>
    </row>
    <row r="8" spans="1:18" s="23" customFormat="1" x14ac:dyDescent="0.3">
      <c r="A8" s="23" t="s">
        <v>213</v>
      </c>
    </row>
    <row r="9" spans="1:18" x14ac:dyDescent="0.3">
      <c r="P9" s="18" t="s">
        <v>354</v>
      </c>
    </row>
    <row r="10" spans="1:18" x14ac:dyDescent="0.3">
      <c r="A10" s="1" t="s">
        <v>214</v>
      </c>
      <c r="B10" s="1" t="s">
        <v>88</v>
      </c>
      <c r="C10" s="1" t="s">
        <v>215</v>
      </c>
      <c r="D10" s="1" t="s">
        <v>216</v>
      </c>
      <c r="E10" s="1" t="s">
        <v>217</v>
      </c>
      <c r="F10" s="1" t="s">
        <v>218</v>
      </c>
      <c r="G10" s="1" t="s">
        <v>219</v>
      </c>
      <c r="H10" s="1" t="s">
        <v>220</v>
      </c>
      <c r="I10" s="1" t="s">
        <v>221</v>
      </c>
      <c r="J10" s="1" t="s">
        <v>222</v>
      </c>
      <c r="K10" s="1" t="s">
        <v>223</v>
      </c>
      <c r="L10" s="1" t="s">
        <v>224</v>
      </c>
      <c r="M10" s="1" t="s">
        <v>225</v>
      </c>
      <c r="N10" s="1" t="s">
        <v>226</v>
      </c>
      <c r="P10" s="14" t="s">
        <v>88</v>
      </c>
      <c r="Q10" s="14" t="s">
        <v>353</v>
      </c>
      <c r="R10" s="14" t="s">
        <v>352</v>
      </c>
    </row>
    <row r="11" spans="1:18" x14ac:dyDescent="0.3">
      <c r="A11" s="2" t="s">
        <v>227</v>
      </c>
      <c r="B11" s="2" t="s">
        <v>228</v>
      </c>
      <c r="C11" s="2" t="s">
        <v>229</v>
      </c>
      <c r="D11" s="2" t="s">
        <v>230</v>
      </c>
      <c r="E11" s="2">
        <v>9515759149</v>
      </c>
      <c r="F11" s="2" t="s">
        <v>231</v>
      </c>
      <c r="G11" s="2" t="s">
        <v>232</v>
      </c>
      <c r="H11" s="2">
        <v>2439.81</v>
      </c>
      <c r="I11" s="2">
        <v>5</v>
      </c>
      <c r="J11" s="2">
        <v>3559.55</v>
      </c>
      <c r="K11" s="2" t="s">
        <v>100</v>
      </c>
      <c r="L11" s="2">
        <f>H11*I11</f>
        <v>12199.05</v>
      </c>
      <c r="M11" s="2" t="str">
        <f>IF(L11&gt;20000,"High",IF(L11&gt;=10000,"Medium","Low"))</f>
        <v>Medium</v>
      </c>
      <c r="N11" s="2">
        <f>ROUND((J11/L11)*100,2)</f>
        <v>29.18</v>
      </c>
      <c r="P11" s="15" t="s">
        <v>247</v>
      </c>
      <c r="Q11" s="15">
        <f>SUMIF($B:$B,P11,$L:$L)</f>
        <v>304204.76999999996</v>
      </c>
      <c r="R11" s="15">
        <f>SUMIF($B:$B,P11,$J:$J)</f>
        <v>65576.37000000001</v>
      </c>
    </row>
    <row r="12" spans="1:18" x14ac:dyDescent="0.3">
      <c r="A12" s="2" t="s">
        <v>233</v>
      </c>
      <c r="B12" s="2" t="s">
        <v>228</v>
      </c>
      <c r="C12" s="2" t="s">
        <v>229</v>
      </c>
      <c r="D12" s="2" t="s">
        <v>230</v>
      </c>
      <c r="E12" s="2">
        <v>9720381947</v>
      </c>
      <c r="F12" s="2" t="s">
        <v>234</v>
      </c>
      <c r="G12" s="2" t="s">
        <v>235</v>
      </c>
      <c r="H12" s="2">
        <v>1621.43</v>
      </c>
      <c r="I12" s="2">
        <v>13</v>
      </c>
      <c r="J12" s="2">
        <v>4029.57</v>
      </c>
      <c r="K12" s="2" t="s">
        <v>236</v>
      </c>
      <c r="L12" s="2">
        <f>H12*I12</f>
        <v>21078.59</v>
      </c>
      <c r="M12" s="2" t="str">
        <f>IF(L12&gt;20000,"High",IF(L12&gt;=10000,"Medium","Low"))</f>
        <v>High</v>
      </c>
      <c r="N12" s="2">
        <f t="shared" ref="N12:N75" si="0">ROUND((J12/L12)*100,2)</f>
        <v>19.12</v>
      </c>
      <c r="P12" s="15" t="s">
        <v>228</v>
      </c>
      <c r="Q12" s="15">
        <f>SUMIF($B:$B,P12,$L:$L)</f>
        <v>263623.37000000005</v>
      </c>
      <c r="R12" s="15">
        <f t="shared" ref="R12:R14" si="1">SUMIF($B:$B,P12,$J:$J)</f>
        <v>53733.26999999999</v>
      </c>
    </row>
    <row r="13" spans="1:18" x14ac:dyDescent="0.3">
      <c r="A13" s="2" t="s">
        <v>237</v>
      </c>
      <c r="B13" s="2" t="s">
        <v>238</v>
      </c>
      <c r="C13" s="2" t="s">
        <v>229</v>
      </c>
      <c r="D13" s="2" t="s">
        <v>239</v>
      </c>
      <c r="E13" s="2">
        <v>9483465530</v>
      </c>
      <c r="F13" s="2" t="s">
        <v>231</v>
      </c>
      <c r="G13" s="2" t="s">
        <v>240</v>
      </c>
      <c r="H13" s="2">
        <v>1363.73</v>
      </c>
      <c r="I13" s="2">
        <v>1</v>
      </c>
      <c r="J13" s="2">
        <v>362.2</v>
      </c>
      <c r="K13" s="2" t="s">
        <v>236</v>
      </c>
      <c r="L13" s="2">
        <f t="shared" ref="L13:L76" si="2">H13*I13</f>
        <v>1363.73</v>
      </c>
      <c r="M13" s="2" t="str">
        <f>IF(L13&gt;20000,"High",IF(L13&gt;=10000,"Medium","Low"))</f>
        <v>Low</v>
      </c>
      <c r="N13" s="2">
        <f t="shared" si="0"/>
        <v>26.56</v>
      </c>
      <c r="P13" s="15" t="s">
        <v>259</v>
      </c>
      <c r="Q13" s="15">
        <f t="shared" ref="Q13:Q14" si="3">SUMIF($B:$B,P13,$L:$L)</f>
        <v>290473.09000000003</v>
      </c>
      <c r="R13" s="15">
        <f t="shared" si="1"/>
        <v>53496.26</v>
      </c>
    </row>
    <row r="14" spans="1:18" x14ac:dyDescent="0.3">
      <c r="A14" s="2" t="s">
        <v>241</v>
      </c>
      <c r="B14" s="2" t="s">
        <v>238</v>
      </c>
      <c r="C14" s="2" t="s">
        <v>229</v>
      </c>
      <c r="D14" s="2" t="s">
        <v>239</v>
      </c>
      <c r="E14" s="2">
        <v>9350165589</v>
      </c>
      <c r="F14" s="2" t="s">
        <v>234</v>
      </c>
      <c r="G14" s="2" t="s">
        <v>242</v>
      </c>
      <c r="H14" s="2">
        <v>1172.93</v>
      </c>
      <c r="I14" s="2">
        <v>5</v>
      </c>
      <c r="J14" s="2">
        <v>1542.65</v>
      </c>
      <c r="K14" s="2" t="s">
        <v>243</v>
      </c>
      <c r="L14" s="2">
        <f t="shared" si="2"/>
        <v>5864.6500000000005</v>
      </c>
      <c r="M14" s="2" t="str">
        <f>IF(L14&gt;20000,"High",IF(L14&gt;=10000,"Medium","Low"))</f>
        <v>Low</v>
      </c>
      <c r="N14" s="2">
        <f t="shared" si="0"/>
        <v>26.3</v>
      </c>
      <c r="P14" s="15" t="s">
        <v>238</v>
      </c>
      <c r="Q14" s="15">
        <f t="shared" si="3"/>
        <v>278867.12999999995</v>
      </c>
      <c r="R14" s="15">
        <f t="shared" si="1"/>
        <v>52548.770000000004</v>
      </c>
    </row>
    <row r="15" spans="1:18" x14ac:dyDescent="0.3">
      <c r="A15" s="2" t="s">
        <v>244</v>
      </c>
      <c r="B15" s="2" t="s">
        <v>238</v>
      </c>
      <c r="C15" s="2" t="s">
        <v>229</v>
      </c>
      <c r="D15" s="2" t="s">
        <v>230</v>
      </c>
      <c r="E15" s="2">
        <v>9621991901</v>
      </c>
      <c r="F15" s="2" t="s">
        <v>231</v>
      </c>
      <c r="G15" s="2" t="s">
        <v>112</v>
      </c>
      <c r="H15" s="2">
        <v>2457.56</v>
      </c>
      <c r="I15" s="2">
        <v>13</v>
      </c>
      <c r="J15" s="2">
        <v>6972.71</v>
      </c>
      <c r="K15" s="2" t="s">
        <v>100</v>
      </c>
      <c r="L15" s="2">
        <f t="shared" si="2"/>
        <v>31948.28</v>
      </c>
      <c r="M15" s="2" t="str">
        <f>IF(L15&gt;20000,"High",IF(L15&gt;=10000,"Medium","Low"))</f>
        <v>High</v>
      </c>
      <c r="N15" s="2">
        <f t="shared" si="0"/>
        <v>21.82</v>
      </c>
    </row>
    <row r="16" spans="1:18" x14ac:dyDescent="0.3">
      <c r="A16" s="2" t="s">
        <v>245</v>
      </c>
      <c r="B16" s="2" t="s">
        <v>238</v>
      </c>
      <c r="C16" s="2" t="s">
        <v>229</v>
      </c>
      <c r="D16" s="2" t="s">
        <v>239</v>
      </c>
      <c r="E16" s="2">
        <v>9734105442</v>
      </c>
      <c r="F16" s="2" t="s">
        <v>231</v>
      </c>
      <c r="G16" s="2" t="s">
        <v>120</v>
      </c>
      <c r="H16" s="2">
        <v>2661.44</v>
      </c>
      <c r="I16" s="2">
        <v>7</v>
      </c>
      <c r="J16" s="2">
        <v>2581.67</v>
      </c>
      <c r="K16" s="2" t="s">
        <v>236</v>
      </c>
      <c r="L16" s="2">
        <f t="shared" si="2"/>
        <v>18630.080000000002</v>
      </c>
      <c r="M16" s="2" t="str">
        <f t="shared" ref="M16:M79" si="4">IF(L16&gt;20000,"High",IF(L16&gt;=10000,"Medium","Low"))</f>
        <v>Medium</v>
      </c>
      <c r="N16" s="2">
        <f t="shared" si="0"/>
        <v>13.86</v>
      </c>
    </row>
    <row r="17" spans="1:17" x14ac:dyDescent="0.3">
      <c r="A17" s="2" t="s">
        <v>246</v>
      </c>
      <c r="B17" s="2" t="s">
        <v>247</v>
      </c>
      <c r="C17" s="2" t="s">
        <v>229</v>
      </c>
      <c r="D17" s="2" t="s">
        <v>248</v>
      </c>
      <c r="E17" s="2">
        <v>9117390999</v>
      </c>
      <c r="F17" s="2" t="s">
        <v>231</v>
      </c>
      <c r="G17" s="2" t="s">
        <v>240</v>
      </c>
      <c r="H17" s="2">
        <v>1400.82</v>
      </c>
      <c r="I17" s="2">
        <v>6</v>
      </c>
      <c r="J17" s="2">
        <v>994.44</v>
      </c>
      <c r="K17" s="2" t="s">
        <v>116</v>
      </c>
      <c r="L17" s="2">
        <f t="shared" si="2"/>
        <v>8404.92</v>
      </c>
      <c r="M17" s="2" t="str">
        <f t="shared" si="4"/>
        <v>Low</v>
      </c>
      <c r="N17" s="2">
        <f t="shared" si="0"/>
        <v>11.83</v>
      </c>
      <c r="P17" s="19" t="s">
        <v>355</v>
      </c>
    </row>
    <row r="18" spans="1:17" x14ac:dyDescent="0.3">
      <c r="A18" s="2" t="s">
        <v>249</v>
      </c>
      <c r="B18" s="2" t="s">
        <v>228</v>
      </c>
      <c r="C18" s="2" t="s">
        <v>229</v>
      </c>
      <c r="D18" s="2" t="s">
        <v>230</v>
      </c>
      <c r="E18" s="2">
        <v>9513032833</v>
      </c>
      <c r="F18" s="2" t="s">
        <v>234</v>
      </c>
      <c r="G18" s="2" t="s">
        <v>250</v>
      </c>
      <c r="H18" s="2">
        <v>416.18</v>
      </c>
      <c r="I18" s="2">
        <v>3</v>
      </c>
      <c r="J18" s="2">
        <v>327.88</v>
      </c>
      <c r="K18" s="2" t="s">
        <v>236</v>
      </c>
      <c r="L18" s="2">
        <f t="shared" si="2"/>
        <v>1248.54</v>
      </c>
      <c r="M18" s="2" t="str">
        <f t="shared" si="4"/>
        <v>Low</v>
      </c>
      <c r="N18" s="2">
        <f t="shared" si="0"/>
        <v>26.26</v>
      </c>
      <c r="P18" s="16" t="s">
        <v>89</v>
      </c>
      <c r="Q18" s="16" t="s">
        <v>356</v>
      </c>
    </row>
    <row r="19" spans="1:17" x14ac:dyDescent="0.3">
      <c r="A19" s="2" t="s">
        <v>251</v>
      </c>
      <c r="B19" s="2" t="s">
        <v>238</v>
      </c>
      <c r="C19" s="2" t="s">
        <v>229</v>
      </c>
      <c r="D19" s="2" t="s">
        <v>252</v>
      </c>
      <c r="E19" s="2">
        <v>95543976868</v>
      </c>
      <c r="F19" s="2" t="s">
        <v>234</v>
      </c>
      <c r="G19" s="2" t="s">
        <v>250</v>
      </c>
      <c r="H19" s="2">
        <v>1290.47</v>
      </c>
      <c r="I19" s="2">
        <v>6</v>
      </c>
      <c r="J19" s="2">
        <v>1045.43</v>
      </c>
      <c r="K19" s="2" t="s">
        <v>236</v>
      </c>
      <c r="L19" s="2">
        <f t="shared" si="2"/>
        <v>7742.82</v>
      </c>
      <c r="M19" s="2" t="str">
        <f t="shared" si="4"/>
        <v>Low</v>
      </c>
      <c r="N19" s="2">
        <f t="shared" si="0"/>
        <v>13.5</v>
      </c>
      <c r="P19" s="17" t="s">
        <v>231</v>
      </c>
      <c r="Q19" s="17">
        <f>ROUND(AVERAGEIF($F:$F,P19,$I:$I),1)</f>
        <v>7.2</v>
      </c>
    </row>
    <row r="20" spans="1:17" x14ac:dyDescent="0.3">
      <c r="A20" s="2" t="s">
        <v>253</v>
      </c>
      <c r="B20" s="2" t="s">
        <v>228</v>
      </c>
      <c r="C20" s="2" t="s">
        <v>229</v>
      </c>
      <c r="D20" s="2" t="s">
        <v>254</v>
      </c>
      <c r="E20" s="2">
        <v>9866250123</v>
      </c>
      <c r="F20" s="2" t="s">
        <v>231</v>
      </c>
      <c r="G20" s="2" t="s">
        <v>240</v>
      </c>
      <c r="H20" s="2">
        <v>2519.94</v>
      </c>
      <c r="I20" s="2">
        <v>15</v>
      </c>
      <c r="J20" s="2">
        <v>11123.31</v>
      </c>
      <c r="K20" s="2" t="s">
        <v>243</v>
      </c>
      <c r="L20" s="2">
        <f t="shared" si="2"/>
        <v>37799.1</v>
      </c>
      <c r="M20" s="2" t="str">
        <f t="shared" si="4"/>
        <v>High</v>
      </c>
      <c r="N20" s="2">
        <f t="shared" si="0"/>
        <v>29.43</v>
      </c>
      <c r="P20" s="17" t="s">
        <v>234</v>
      </c>
      <c r="Q20" s="17">
        <f t="shared" ref="Q20:Q21" si="5">ROUND(AVERAGEIF($F:$F,P20,$I:$I),1)</f>
        <v>7.8</v>
      </c>
    </row>
    <row r="21" spans="1:17" x14ac:dyDescent="0.3">
      <c r="A21" s="2" t="s">
        <v>255</v>
      </c>
      <c r="B21" s="2" t="s">
        <v>238</v>
      </c>
      <c r="C21" s="2" t="s">
        <v>229</v>
      </c>
      <c r="D21" s="2" t="s">
        <v>256</v>
      </c>
      <c r="E21" s="2">
        <v>9884314044</v>
      </c>
      <c r="F21" s="2" t="s">
        <v>231</v>
      </c>
      <c r="G21" s="2" t="s">
        <v>240</v>
      </c>
      <c r="H21" s="2">
        <v>2814.97</v>
      </c>
      <c r="I21" s="2">
        <v>1</v>
      </c>
      <c r="J21" s="2">
        <v>716.15</v>
      </c>
      <c r="K21" s="2" t="s">
        <v>236</v>
      </c>
      <c r="L21" s="2">
        <f t="shared" si="2"/>
        <v>2814.97</v>
      </c>
      <c r="M21" s="2" t="str">
        <f t="shared" si="4"/>
        <v>Low</v>
      </c>
      <c r="N21" s="2">
        <f t="shared" si="0"/>
        <v>25.44</v>
      </c>
      <c r="P21" s="17" t="s">
        <v>98</v>
      </c>
      <c r="Q21" s="17">
        <f t="shared" si="5"/>
        <v>8.1</v>
      </c>
    </row>
    <row r="22" spans="1:17" x14ac:dyDescent="0.3">
      <c r="A22" s="2" t="s">
        <v>257</v>
      </c>
      <c r="B22" s="2" t="s">
        <v>247</v>
      </c>
      <c r="C22" s="2" t="s">
        <v>229</v>
      </c>
      <c r="D22" s="2" t="s">
        <v>239</v>
      </c>
      <c r="E22" s="2">
        <v>9192128284</v>
      </c>
      <c r="F22" s="2" t="s">
        <v>231</v>
      </c>
      <c r="G22" s="2" t="s">
        <v>112</v>
      </c>
      <c r="H22" s="2">
        <v>841.72</v>
      </c>
      <c r="I22" s="2">
        <v>13</v>
      </c>
      <c r="J22" s="2">
        <v>2130.1799999999998</v>
      </c>
      <c r="K22" s="2" t="s">
        <v>116</v>
      </c>
      <c r="L22" s="2">
        <f t="shared" si="2"/>
        <v>10942.36</v>
      </c>
      <c r="M22" s="2" t="str">
        <f t="shared" si="4"/>
        <v>Medium</v>
      </c>
      <c r="N22" s="2">
        <f t="shared" si="0"/>
        <v>19.47</v>
      </c>
    </row>
    <row r="23" spans="1:17" x14ac:dyDescent="0.3">
      <c r="A23" s="2" t="s">
        <v>258</v>
      </c>
      <c r="B23" s="2" t="s">
        <v>259</v>
      </c>
      <c r="C23" s="2" t="s">
        <v>229</v>
      </c>
      <c r="D23" s="2" t="s">
        <v>239</v>
      </c>
      <c r="E23" s="2">
        <v>9731590483</v>
      </c>
      <c r="F23" s="2" t="s">
        <v>98</v>
      </c>
      <c r="G23" s="2" t="s">
        <v>156</v>
      </c>
      <c r="H23" s="2">
        <v>1169.28</v>
      </c>
      <c r="I23" s="2">
        <v>2</v>
      </c>
      <c r="J23" s="2">
        <v>273.95</v>
      </c>
      <c r="K23" s="2" t="s">
        <v>100</v>
      </c>
      <c r="L23" s="2">
        <f t="shared" si="2"/>
        <v>2338.56</v>
      </c>
      <c r="M23" s="2" t="str">
        <f t="shared" si="4"/>
        <v>Low</v>
      </c>
      <c r="N23" s="2">
        <f t="shared" si="0"/>
        <v>11.71</v>
      </c>
    </row>
    <row r="24" spans="1:17" x14ac:dyDescent="0.3">
      <c r="A24" s="2" t="s">
        <v>260</v>
      </c>
      <c r="B24" s="2" t="s">
        <v>228</v>
      </c>
      <c r="C24" s="2" t="s">
        <v>229</v>
      </c>
      <c r="D24" s="2" t="s">
        <v>230</v>
      </c>
      <c r="E24" s="2">
        <v>9245312903</v>
      </c>
      <c r="F24" s="2" t="s">
        <v>234</v>
      </c>
      <c r="G24" s="2" t="s">
        <v>160</v>
      </c>
      <c r="H24" s="2">
        <v>2320.0300000000002</v>
      </c>
      <c r="I24" s="2">
        <v>3</v>
      </c>
      <c r="J24" s="2">
        <v>1260.55</v>
      </c>
      <c r="K24" s="2" t="s">
        <v>100</v>
      </c>
      <c r="L24" s="2">
        <f t="shared" si="2"/>
        <v>6960.09</v>
      </c>
      <c r="M24" s="2" t="str">
        <f t="shared" si="4"/>
        <v>Low</v>
      </c>
      <c r="N24" s="2">
        <f t="shared" si="0"/>
        <v>18.11</v>
      </c>
    </row>
    <row r="25" spans="1:17" x14ac:dyDescent="0.3">
      <c r="A25" s="2" t="s">
        <v>261</v>
      </c>
      <c r="B25" s="2" t="s">
        <v>259</v>
      </c>
      <c r="C25" s="2" t="s">
        <v>229</v>
      </c>
      <c r="D25" s="2" t="s">
        <v>239</v>
      </c>
      <c r="E25" s="2">
        <v>9587137236</v>
      </c>
      <c r="F25" s="2" t="s">
        <v>231</v>
      </c>
      <c r="G25" s="2" t="s">
        <v>240</v>
      </c>
      <c r="H25" s="2">
        <v>1780.66</v>
      </c>
      <c r="I25" s="2">
        <v>11</v>
      </c>
      <c r="J25" s="2">
        <v>2826.93</v>
      </c>
      <c r="K25" s="2" t="s">
        <v>116</v>
      </c>
      <c r="L25" s="2">
        <f t="shared" si="2"/>
        <v>19587.260000000002</v>
      </c>
      <c r="M25" s="2" t="str">
        <f t="shared" si="4"/>
        <v>Medium</v>
      </c>
      <c r="N25" s="2">
        <f t="shared" si="0"/>
        <v>14.43</v>
      </c>
    </row>
    <row r="26" spans="1:17" x14ac:dyDescent="0.3">
      <c r="A26" s="2" t="s">
        <v>262</v>
      </c>
      <c r="B26" s="2" t="s">
        <v>259</v>
      </c>
      <c r="C26" s="2" t="s">
        <v>229</v>
      </c>
      <c r="D26" s="2" t="s">
        <v>248</v>
      </c>
      <c r="E26" s="2">
        <v>9161819590</v>
      </c>
      <c r="F26" s="2" t="s">
        <v>98</v>
      </c>
      <c r="G26" s="2" t="s">
        <v>263</v>
      </c>
      <c r="H26" s="2">
        <v>2672</v>
      </c>
      <c r="I26" s="2">
        <v>15</v>
      </c>
      <c r="J26" s="2">
        <v>4719.91</v>
      </c>
      <c r="K26" s="2" t="s">
        <v>243</v>
      </c>
      <c r="L26" s="2">
        <f t="shared" si="2"/>
        <v>40080</v>
      </c>
      <c r="M26" s="2" t="str">
        <f t="shared" si="4"/>
        <v>High</v>
      </c>
      <c r="N26" s="2">
        <f t="shared" si="0"/>
        <v>11.78</v>
      </c>
    </row>
    <row r="27" spans="1:17" x14ac:dyDescent="0.3">
      <c r="A27" s="2" t="s">
        <v>264</v>
      </c>
      <c r="B27" s="2" t="s">
        <v>238</v>
      </c>
      <c r="C27" s="2" t="s">
        <v>229</v>
      </c>
      <c r="D27" s="2" t="s">
        <v>239</v>
      </c>
      <c r="E27" s="2">
        <v>9551484924</v>
      </c>
      <c r="F27" s="2" t="s">
        <v>231</v>
      </c>
      <c r="G27" s="2" t="s">
        <v>265</v>
      </c>
      <c r="H27" s="2">
        <v>824.49</v>
      </c>
      <c r="I27" s="2">
        <v>9</v>
      </c>
      <c r="J27" s="2">
        <v>1403.14</v>
      </c>
      <c r="K27" s="2" t="s">
        <v>266</v>
      </c>
      <c r="L27" s="2">
        <f t="shared" si="2"/>
        <v>7420.41</v>
      </c>
      <c r="M27" s="2" t="str">
        <f t="shared" si="4"/>
        <v>Low</v>
      </c>
      <c r="N27" s="2">
        <f t="shared" si="0"/>
        <v>18.91</v>
      </c>
    </row>
    <row r="28" spans="1:17" x14ac:dyDescent="0.3">
      <c r="A28" s="2" t="s">
        <v>267</v>
      </c>
      <c r="B28" s="2" t="s">
        <v>247</v>
      </c>
      <c r="C28" s="2" t="s">
        <v>229</v>
      </c>
      <c r="D28" s="2" t="s">
        <v>268</v>
      </c>
      <c r="E28" s="2">
        <v>91682255459</v>
      </c>
      <c r="F28" s="2" t="s">
        <v>98</v>
      </c>
      <c r="G28" s="2" t="s">
        <v>128</v>
      </c>
      <c r="H28" s="2">
        <v>2896.96</v>
      </c>
      <c r="I28" s="2">
        <v>7</v>
      </c>
      <c r="J28" s="2">
        <v>3528.3</v>
      </c>
      <c r="K28" s="2" t="s">
        <v>236</v>
      </c>
      <c r="L28" s="2">
        <f t="shared" si="2"/>
        <v>20278.72</v>
      </c>
      <c r="M28" s="2" t="str">
        <f t="shared" si="4"/>
        <v>High</v>
      </c>
      <c r="N28" s="2">
        <f t="shared" si="0"/>
        <v>17.399999999999999</v>
      </c>
    </row>
    <row r="29" spans="1:17" x14ac:dyDescent="0.3">
      <c r="A29" s="2" t="s">
        <v>269</v>
      </c>
      <c r="B29" s="2" t="s">
        <v>238</v>
      </c>
      <c r="C29" s="2" t="s">
        <v>229</v>
      </c>
      <c r="D29" s="2" t="s">
        <v>252</v>
      </c>
      <c r="E29" s="2">
        <v>9277023818</v>
      </c>
      <c r="F29" s="2" t="s">
        <v>98</v>
      </c>
      <c r="G29" s="2" t="s">
        <v>263</v>
      </c>
      <c r="H29" s="2">
        <v>1235.32</v>
      </c>
      <c r="I29" s="2">
        <v>9</v>
      </c>
      <c r="J29" s="2">
        <v>2542.0700000000002</v>
      </c>
      <c r="K29" s="2" t="s">
        <v>266</v>
      </c>
      <c r="L29" s="2">
        <f t="shared" si="2"/>
        <v>11117.88</v>
      </c>
      <c r="M29" s="2" t="str">
        <f t="shared" si="4"/>
        <v>Medium</v>
      </c>
      <c r="N29" s="2">
        <f t="shared" si="0"/>
        <v>22.86</v>
      </c>
    </row>
    <row r="30" spans="1:17" x14ac:dyDescent="0.3">
      <c r="A30" s="2" t="s">
        <v>270</v>
      </c>
      <c r="B30" s="2" t="s">
        <v>247</v>
      </c>
      <c r="C30" s="2" t="s">
        <v>229</v>
      </c>
      <c r="D30" s="2" t="s">
        <v>254</v>
      </c>
      <c r="E30" s="2">
        <v>9670448490</v>
      </c>
      <c r="F30" s="2" t="s">
        <v>234</v>
      </c>
      <c r="G30" s="2" t="s">
        <v>235</v>
      </c>
      <c r="H30" s="2">
        <v>2168.33</v>
      </c>
      <c r="I30" s="2">
        <v>3</v>
      </c>
      <c r="J30" s="2">
        <v>1394.93</v>
      </c>
      <c r="K30" s="2" t="s">
        <v>243</v>
      </c>
      <c r="L30" s="2">
        <f t="shared" si="2"/>
        <v>6504.99</v>
      </c>
      <c r="M30" s="2" t="str">
        <f t="shared" si="4"/>
        <v>Low</v>
      </c>
      <c r="N30" s="2">
        <f t="shared" si="0"/>
        <v>21.44</v>
      </c>
    </row>
    <row r="31" spans="1:17" x14ac:dyDescent="0.3">
      <c r="A31" s="2" t="s">
        <v>271</v>
      </c>
      <c r="B31" s="2" t="s">
        <v>247</v>
      </c>
      <c r="C31" s="2" t="s">
        <v>229</v>
      </c>
      <c r="D31" s="2" t="s">
        <v>239</v>
      </c>
      <c r="E31" s="2">
        <v>9123788207</v>
      </c>
      <c r="F31" s="2" t="s">
        <v>231</v>
      </c>
      <c r="G31" s="2" t="s">
        <v>265</v>
      </c>
      <c r="H31" s="2">
        <v>2654.54</v>
      </c>
      <c r="I31" s="2">
        <v>5</v>
      </c>
      <c r="J31" s="2">
        <v>3308.52</v>
      </c>
      <c r="K31" s="2" t="s">
        <v>266</v>
      </c>
      <c r="L31" s="2">
        <f t="shared" si="2"/>
        <v>13272.7</v>
      </c>
      <c r="M31" s="2" t="str">
        <f t="shared" si="4"/>
        <v>Medium</v>
      </c>
      <c r="N31" s="2">
        <f t="shared" si="0"/>
        <v>24.93</v>
      </c>
    </row>
    <row r="32" spans="1:17" x14ac:dyDescent="0.3">
      <c r="A32" s="2" t="s">
        <v>272</v>
      </c>
      <c r="B32" s="2" t="s">
        <v>228</v>
      </c>
      <c r="C32" s="2" t="s">
        <v>229</v>
      </c>
      <c r="D32" s="2" t="s">
        <v>248</v>
      </c>
      <c r="E32" s="2">
        <v>99831923457</v>
      </c>
      <c r="F32" s="2" t="s">
        <v>98</v>
      </c>
      <c r="G32" s="2" t="s">
        <v>115</v>
      </c>
      <c r="H32" s="2">
        <v>1313.77</v>
      </c>
      <c r="I32" s="2">
        <v>7</v>
      </c>
      <c r="J32" s="2">
        <v>2435.5500000000002</v>
      </c>
      <c r="K32" s="2" t="s">
        <v>243</v>
      </c>
      <c r="L32" s="2">
        <f t="shared" si="2"/>
        <v>9196.39</v>
      </c>
      <c r="M32" s="2" t="str">
        <f t="shared" si="4"/>
        <v>Low</v>
      </c>
      <c r="N32" s="2">
        <f t="shared" si="0"/>
        <v>26.48</v>
      </c>
    </row>
    <row r="33" spans="1:14" x14ac:dyDescent="0.3">
      <c r="A33" s="2" t="s">
        <v>273</v>
      </c>
      <c r="B33" s="2" t="s">
        <v>247</v>
      </c>
      <c r="C33" s="2" t="s">
        <v>229</v>
      </c>
      <c r="D33" s="2" t="s">
        <v>254</v>
      </c>
      <c r="E33" s="2">
        <v>9822358874</v>
      </c>
      <c r="F33" s="2" t="s">
        <v>98</v>
      </c>
      <c r="G33" s="2" t="s">
        <v>128</v>
      </c>
      <c r="H33" s="2">
        <v>1602.24</v>
      </c>
      <c r="I33" s="2">
        <v>13</v>
      </c>
      <c r="J33" s="2">
        <v>3082.85</v>
      </c>
      <c r="K33" s="2" t="s">
        <v>266</v>
      </c>
      <c r="L33" s="2">
        <f t="shared" si="2"/>
        <v>20829.12</v>
      </c>
      <c r="M33" s="2" t="str">
        <f t="shared" si="4"/>
        <v>High</v>
      </c>
      <c r="N33" s="2">
        <f t="shared" si="0"/>
        <v>14.8</v>
      </c>
    </row>
    <row r="34" spans="1:14" x14ac:dyDescent="0.3">
      <c r="A34" s="2" t="s">
        <v>274</v>
      </c>
      <c r="B34" s="2" t="s">
        <v>228</v>
      </c>
      <c r="C34" s="2" t="s">
        <v>229</v>
      </c>
      <c r="D34" s="2" t="s">
        <v>268</v>
      </c>
      <c r="E34" s="2">
        <v>9497595031</v>
      </c>
      <c r="F34" s="2" t="s">
        <v>234</v>
      </c>
      <c r="G34" s="2" t="s">
        <v>242</v>
      </c>
      <c r="H34" s="2">
        <v>592.33000000000004</v>
      </c>
      <c r="I34" s="2">
        <v>4</v>
      </c>
      <c r="J34" s="2">
        <v>539.64</v>
      </c>
      <c r="K34" s="2" t="s">
        <v>236</v>
      </c>
      <c r="L34" s="2">
        <f t="shared" si="2"/>
        <v>2369.3200000000002</v>
      </c>
      <c r="M34" s="2" t="str">
        <f t="shared" si="4"/>
        <v>Low</v>
      </c>
      <c r="N34" s="2">
        <f t="shared" si="0"/>
        <v>22.78</v>
      </c>
    </row>
    <row r="35" spans="1:14" x14ac:dyDescent="0.3">
      <c r="A35" s="2" t="s">
        <v>275</v>
      </c>
      <c r="B35" s="2" t="s">
        <v>238</v>
      </c>
      <c r="C35" s="2" t="s">
        <v>229</v>
      </c>
      <c r="D35" s="2" t="s">
        <v>256</v>
      </c>
      <c r="E35" s="2">
        <v>9781615192</v>
      </c>
      <c r="F35" s="2" t="s">
        <v>98</v>
      </c>
      <c r="G35" s="2" t="s">
        <v>263</v>
      </c>
      <c r="H35" s="2">
        <v>589.14</v>
      </c>
      <c r="I35" s="2">
        <v>8</v>
      </c>
      <c r="J35" s="2">
        <v>1252.56</v>
      </c>
      <c r="K35" s="2" t="s">
        <v>243</v>
      </c>
      <c r="L35" s="2">
        <f t="shared" si="2"/>
        <v>4713.12</v>
      </c>
      <c r="M35" s="2" t="str">
        <f t="shared" si="4"/>
        <v>Low</v>
      </c>
      <c r="N35" s="2">
        <f t="shared" si="0"/>
        <v>26.58</v>
      </c>
    </row>
    <row r="36" spans="1:14" x14ac:dyDescent="0.3">
      <c r="A36" s="2" t="s">
        <v>276</v>
      </c>
      <c r="B36" s="2" t="s">
        <v>259</v>
      </c>
      <c r="C36" s="2" t="s">
        <v>229</v>
      </c>
      <c r="D36" s="2" t="s">
        <v>268</v>
      </c>
      <c r="E36" s="2">
        <v>9310431691</v>
      </c>
      <c r="F36" s="2" t="s">
        <v>234</v>
      </c>
      <c r="G36" s="2" t="s">
        <v>250</v>
      </c>
      <c r="H36" s="2">
        <v>2354.6</v>
      </c>
      <c r="I36" s="2">
        <v>4</v>
      </c>
      <c r="J36" s="2">
        <v>2575.4299999999998</v>
      </c>
      <c r="K36" s="2" t="s">
        <v>100</v>
      </c>
      <c r="L36" s="2">
        <f t="shared" si="2"/>
        <v>9418.4</v>
      </c>
      <c r="M36" s="2" t="str">
        <f t="shared" si="4"/>
        <v>Low</v>
      </c>
      <c r="N36" s="2">
        <f t="shared" si="0"/>
        <v>27.34</v>
      </c>
    </row>
    <row r="37" spans="1:14" x14ac:dyDescent="0.3">
      <c r="A37" s="2" t="s">
        <v>277</v>
      </c>
      <c r="B37" s="2" t="s">
        <v>247</v>
      </c>
      <c r="C37" s="2" t="s">
        <v>229</v>
      </c>
      <c r="D37" s="2" t="s">
        <v>268</v>
      </c>
      <c r="E37" s="2">
        <v>9375633062</v>
      </c>
      <c r="F37" s="2" t="s">
        <v>98</v>
      </c>
      <c r="G37" s="2" t="s">
        <v>122</v>
      </c>
      <c r="H37" s="2">
        <v>1920.55</v>
      </c>
      <c r="I37" s="2">
        <v>6</v>
      </c>
      <c r="J37" s="2">
        <v>2254.59</v>
      </c>
      <c r="K37" s="2" t="s">
        <v>100</v>
      </c>
      <c r="L37" s="2">
        <f t="shared" si="2"/>
        <v>11523.3</v>
      </c>
      <c r="M37" s="2" t="str">
        <f t="shared" si="4"/>
        <v>Medium</v>
      </c>
      <c r="N37" s="2">
        <f t="shared" si="0"/>
        <v>19.57</v>
      </c>
    </row>
    <row r="38" spans="1:14" x14ac:dyDescent="0.3">
      <c r="A38" s="2" t="s">
        <v>278</v>
      </c>
      <c r="B38" s="2" t="s">
        <v>247</v>
      </c>
      <c r="C38" s="2" t="s">
        <v>229</v>
      </c>
      <c r="D38" s="2" t="s">
        <v>239</v>
      </c>
      <c r="E38" s="2">
        <v>9958467371</v>
      </c>
      <c r="F38" s="2" t="s">
        <v>231</v>
      </c>
      <c r="G38" s="2" t="s">
        <v>120</v>
      </c>
      <c r="H38" s="2">
        <v>1086.4100000000001</v>
      </c>
      <c r="I38" s="2">
        <v>7</v>
      </c>
      <c r="J38" s="2">
        <v>2066.7600000000002</v>
      </c>
      <c r="K38" s="2" t="s">
        <v>100</v>
      </c>
      <c r="L38" s="2">
        <f t="shared" si="2"/>
        <v>7604.8700000000008</v>
      </c>
      <c r="M38" s="2" t="str">
        <f t="shared" si="4"/>
        <v>Low</v>
      </c>
      <c r="N38" s="2">
        <f t="shared" si="0"/>
        <v>27.18</v>
      </c>
    </row>
    <row r="39" spans="1:14" x14ac:dyDescent="0.3">
      <c r="A39" s="2" t="s">
        <v>279</v>
      </c>
      <c r="B39" s="2" t="s">
        <v>247</v>
      </c>
      <c r="C39" s="2" t="s">
        <v>229</v>
      </c>
      <c r="D39" s="2" t="s">
        <v>239</v>
      </c>
      <c r="E39" s="2">
        <v>9485913642</v>
      </c>
      <c r="F39" s="2" t="s">
        <v>234</v>
      </c>
      <c r="G39" s="2" t="s">
        <v>160</v>
      </c>
      <c r="H39" s="2">
        <v>1181.07</v>
      </c>
      <c r="I39" s="2">
        <v>13</v>
      </c>
      <c r="J39" s="2">
        <v>3821.07</v>
      </c>
      <c r="K39" s="2" t="s">
        <v>243</v>
      </c>
      <c r="L39" s="2">
        <f t="shared" si="2"/>
        <v>15353.91</v>
      </c>
      <c r="M39" s="2" t="str">
        <f t="shared" si="4"/>
        <v>Medium</v>
      </c>
      <c r="N39" s="2">
        <f t="shared" si="0"/>
        <v>24.89</v>
      </c>
    </row>
    <row r="40" spans="1:14" x14ac:dyDescent="0.3">
      <c r="A40" s="2" t="s">
        <v>280</v>
      </c>
      <c r="B40" s="2" t="s">
        <v>247</v>
      </c>
      <c r="C40" s="2" t="s">
        <v>229</v>
      </c>
      <c r="D40" s="2" t="s">
        <v>268</v>
      </c>
      <c r="E40" s="2">
        <v>9942727052</v>
      </c>
      <c r="F40" s="2" t="s">
        <v>234</v>
      </c>
      <c r="G40" s="2" t="s">
        <v>281</v>
      </c>
      <c r="H40" s="2">
        <v>2521.1999999999998</v>
      </c>
      <c r="I40" s="2">
        <v>8</v>
      </c>
      <c r="J40" s="2">
        <v>6046.68</v>
      </c>
      <c r="K40" s="2" t="s">
        <v>100</v>
      </c>
      <c r="L40" s="2">
        <f t="shared" si="2"/>
        <v>20169.599999999999</v>
      </c>
      <c r="M40" s="2" t="str">
        <f t="shared" si="4"/>
        <v>High</v>
      </c>
      <c r="N40" s="2">
        <f t="shared" si="0"/>
        <v>29.98</v>
      </c>
    </row>
    <row r="41" spans="1:14" x14ac:dyDescent="0.3">
      <c r="A41" s="2" t="s">
        <v>282</v>
      </c>
      <c r="B41" s="2" t="s">
        <v>238</v>
      </c>
      <c r="C41" s="2" t="s">
        <v>229</v>
      </c>
      <c r="D41" s="2" t="s">
        <v>254</v>
      </c>
      <c r="E41" s="2">
        <v>9164209990</v>
      </c>
      <c r="F41" s="2" t="s">
        <v>231</v>
      </c>
      <c r="G41" s="2" t="s">
        <v>112</v>
      </c>
      <c r="H41" s="2">
        <v>1741.71</v>
      </c>
      <c r="I41" s="2">
        <v>15</v>
      </c>
      <c r="J41" s="2">
        <v>4026.14</v>
      </c>
      <c r="K41" s="2" t="s">
        <v>116</v>
      </c>
      <c r="L41" s="2">
        <f t="shared" si="2"/>
        <v>26125.65</v>
      </c>
      <c r="M41" s="2" t="str">
        <f t="shared" si="4"/>
        <v>High</v>
      </c>
      <c r="N41" s="2">
        <f t="shared" si="0"/>
        <v>15.41</v>
      </c>
    </row>
    <row r="42" spans="1:14" x14ac:dyDescent="0.3">
      <c r="A42" s="2" t="s">
        <v>283</v>
      </c>
      <c r="B42" s="2" t="s">
        <v>238</v>
      </c>
      <c r="C42" s="2" t="s">
        <v>229</v>
      </c>
      <c r="D42" s="2" t="s">
        <v>268</v>
      </c>
      <c r="E42" s="2">
        <v>9972130283</v>
      </c>
      <c r="F42" s="2" t="s">
        <v>234</v>
      </c>
      <c r="G42" s="2" t="s">
        <v>242</v>
      </c>
      <c r="H42" s="2">
        <v>1691.18</v>
      </c>
      <c r="I42" s="2">
        <v>9</v>
      </c>
      <c r="J42" s="2">
        <v>3286.83</v>
      </c>
      <c r="K42" s="2" t="s">
        <v>236</v>
      </c>
      <c r="L42" s="2">
        <f t="shared" si="2"/>
        <v>15220.62</v>
      </c>
      <c r="M42" s="2" t="str">
        <f t="shared" si="4"/>
        <v>Medium</v>
      </c>
      <c r="N42" s="2">
        <f t="shared" si="0"/>
        <v>21.59</v>
      </c>
    </row>
    <row r="43" spans="1:14" x14ac:dyDescent="0.3">
      <c r="A43" s="2" t="s">
        <v>284</v>
      </c>
      <c r="B43" s="2" t="s">
        <v>238</v>
      </c>
      <c r="C43" s="2" t="s">
        <v>229</v>
      </c>
      <c r="D43" s="2" t="s">
        <v>268</v>
      </c>
      <c r="E43" s="2">
        <v>9305312346</v>
      </c>
      <c r="F43" s="2" t="s">
        <v>231</v>
      </c>
      <c r="G43" s="2" t="s">
        <v>265</v>
      </c>
      <c r="H43" s="2">
        <v>2430.4899999999998</v>
      </c>
      <c r="I43" s="2">
        <v>1</v>
      </c>
      <c r="J43" s="2">
        <v>538.34</v>
      </c>
      <c r="K43" s="2" t="s">
        <v>266</v>
      </c>
      <c r="L43" s="2">
        <f t="shared" si="2"/>
        <v>2430.4899999999998</v>
      </c>
      <c r="M43" s="2" t="str">
        <f t="shared" si="4"/>
        <v>Low</v>
      </c>
      <c r="N43" s="2">
        <f t="shared" si="0"/>
        <v>22.15</v>
      </c>
    </row>
    <row r="44" spans="1:14" x14ac:dyDescent="0.3">
      <c r="A44" s="2" t="s">
        <v>285</v>
      </c>
      <c r="B44" s="2" t="s">
        <v>228</v>
      </c>
      <c r="C44" s="2" t="s">
        <v>229</v>
      </c>
      <c r="D44" s="2" t="s">
        <v>268</v>
      </c>
      <c r="E44" s="2">
        <v>9403336927</v>
      </c>
      <c r="F44" s="2" t="s">
        <v>231</v>
      </c>
      <c r="G44" s="2" t="s">
        <v>120</v>
      </c>
      <c r="H44" s="2">
        <v>1937.5</v>
      </c>
      <c r="I44" s="2">
        <v>10</v>
      </c>
      <c r="J44" s="2">
        <v>2548.08</v>
      </c>
      <c r="K44" s="2" t="s">
        <v>116</v>
      </c>
      <c r="L44" s="2">
        <f t="shared" si="2"/>
        <v>19375</v>
      </c>
      <c r="M44" s="2" t="str">
        <f t="shared" si="4"/>
        <v>Medium</v>
      </c>
      <c r="N44" s="2">
        <f t="shared" si="0"/>
        <v>13.15</v>
      </c>
    </row>
    <row r="45" spans="1:14" x14ac:dyDescent="0.3">
      <c r="A45" s="2" t="s">
        <v>286</v>
      </c>
      <c r="B45" s="2" t="s">
        <v>259</v>
      </c>
      <c r="C45" s="2" t="s">
        <v>229</v>
      </c>
      <c r="D45" s="2" t="s">
        <v>230</v>
      </c>
      <c r="E45" s="2">
        <v>9209432112</v>
      </c>
      <c r="F45" s="2" t="s">
        <v>231</v>
      </c>
      <c r="G45" s="2" t="s">
        <v>240</v>
      </c>
      <c r="H45" s="2">
        <v>2848.61</v>
      </c>
      <c r="I45" s="2">
        <v>15</v>
      </c>
      <c r="J45" s="2">
        <v>6188.69</v>
      </c>
      <c r="K45" s="2" t="s">
        <v>266</v>
      </c>
      <c r="L45" s="2">
        <f t="shared" si="2"/>
        <v>42729.15</v>
      </c>
      <c r="M45" s="2" t="str">
        <f t="shared" si="4"/>
        <v>High</v>
      </c>
      <c r="N45" s="2">
        <f t="shared" si="0"/>
        <v>14.48</v>
      </c>
    </row>
    <row r="46" spans="1:14" x14ac:dyDescent="0.3">
      <c r="A46" s="2" t="s">
        <v>287</v>
      </c>
      <c r="B46" s="2" t="s">
        <v>259</v>
      </c>
      <c r="C46" s="2" t="s">
        <v>229</v>
      </c>
      <c r="D46" s="2" t="s">
        <v>252</v>
      </c>
      <c r="E46" s="2">
        <v>92886736565</v>
      </c>
      <c r="F46" s="2" t="s">
        <v>234</v>
      </c>
      <c r="G46" s="2" t="s">
        <v>281</v>
      </c>
      <c r="H46" s="2">
        <v>537.01</v>
      </c>
      <c r="I46" s="2">
        <v>15</v>
      </c>
      <c r="J46" s="2">
        <v>848.33</v>
      </c>
      <c r="K46" s="2" t="s">
        <v>266</v>
      </c>
      <c r="L46" s="2">
        <f t="shared" si="2"/>
        <v>8055.15</v>
      </c>
      <c r="M46" s="2" t="str">
        <f t="shared" si="4"/>
        <v>Low</v>
      </c>
      <c r="N46" s="2">
        <f t="shared" si="0"/>
        <v>10.53</v>
      </c>
    </row>
    <row r="47" spans="1:14" x14ac:dyDescent="0.3">
      <c r="A47" s="2" t="s">
        <v>288</v>
      </c>
      <c r="B47" s="2" t="s">
        <v>247</v>
      </c>
      <c r="C47" s="2" t="s">
        <v>229</v>
      </c>
      <c r="D47" s="2" t="s">
        <v>230</v>
      </c>
      <c r="E47" s="2">
        <v>9696039067</v>
      </c>
      <c r="F47" s="2" t="s">
        <v>234</v>
      </c>
      <c r="G47" s="2" t="s">
        <v>242</v>
      </c>
      <c r="H47" s="2">
        <v>2052.79</v>
      </c>
      <c r="I47" s="2">
        <v>1</v>
      </c>
      <c r="J47" s="2">
        <v>296.79000000000002</v>
      </c>
      <c r="K47" s="2" t="s">
        <v>236</v>
      </c>
      <c r="L47" s="2">
        <f t="shared" si="2"/>
        <v>2052.79</v>
      </c>
      <c r="M47" s="2" t="str">
        <f t="shared" si="4"/>
        <v>Low</v>
      </c>
      <c r="N47" s="2">
        <f t="shared" si="0"/>
        <v>14.46</v>
      </c>
    </row>
    <row r="48" spans="1:14" x14ac:dyDescent="0.3">
      <c r="A48" s="2" t="s">
        <v>289</v>
      </c>
      <c r="B48" s="2" t="s">
        <v>247</v>
      </c>
      <c r="C48" s="2" t="s">
        <v>229</v>
      </c>
      <c r="D48" s="2" t="s">
        <v>252</v>
      </c>
      <c r="E48" s="2">
        <v>9729755086</v>
      </c>
      <c r="F48" s="2" t="s">
        <v>231</v>
      </c>
      <c r="G48" s="2" t="s">
        <v>265</v>
      </c>
      <c r="H48" s="2">
        <v>1708.1</v>
      </c>
      <c r="I48" s="2">
        <v>3</v>
      </c>
      <c r="J48" s="2">
        <v>897.22</v>
      </c>
      <c r="K48" s="2" t="s">
        <v>100</v>
      </c>
      <c r="L48" s="2">
        <f t="shared" si="2"/>
        <v>5124.2999999999993</v>
      </c>
      <c r="M48" s="2" t="str">
        <f t="shared" si="4"/>
        <v>Low</v>
      </c>
      <c r="N48" s="2">
        <f t="shared" si="0"/>
        <v>17.510000000000002</v>
      </c>
    </row>
    <row r="49" spans="1:14" x14ac:dyDescent="0.3">
      <c r="A49" s="2" t="s">
        <v>290</v>
      </c>
      <c r="B49" s="2" t="s">
        <v>247</v>
      </c>
      <c r="C49" s="2" t="s">
        <v>229</v>
      </c>
      <c r="D49" s="2" t="s">
        <v>268</v>
      </c>
      <c r="E49" s="2">
        <v>9291717779</v>
      </c>
      <c r="F49" s="2" t="s">
        <v>98</v>
      </c>
      <c r="G49" s="2" t="s">
        <v>128</v>
      </c>
      <c r="H49" s="2">
        <v>1616.55</v>
      </c>
      <c r="I49" s="2">
        <v>14</v>
      </c>
      <c r="J49" s="2">
        <v>6621.29</v>
      </c>
      <c r="K49" s="2" t="s">
        <v>100</v>
      </c>
      <c r="L49" s="2">
        <f t="shared" si="2"/>
        <v>22631.7</v>
      </c>
      <c r="M49" s="2" t="str">
        <f t="shared" si="4"/>
        <v>High</v>
      </c>
      <c r="N49" s="2">
        <f t="shared" si="0"/>
        <v>29.26</v>
      </c>
    </row>
    <row r="50" spans="1:14" x14ac:dyDescent="0.3">
      <c r="A50" s="2" t="s">
        <v>291</v>
      </c>
      <c r="B50" s="2" t="s">
        <v>247</v>
      </c>
      <c r="C50" s="2" t="s">
        <v>229</v>
      </c>
      <c r="D50" s="2" t="s">
        <v>230</v>
      </c>
      <c r="E50" s="2">
        <v>9596984707</v>
      </c>
      <c r="F50" s="2" t="s">
        <v>231</v>
      </c>
      <c r="G50" s="2" t="s">
        <v>112</v>
      </c>
      <c r="H50" s="2">
        <v>1774.62</v>
      </c>
      <c r="I50" s="2">
        <v>7</v>
      </c>
      <c r="J50" s="2">
        <v>3378.16</v>
      </c>
      <c r="K50" s="2" t="s">
        <v>100</v>
      </c>
      <c r="L50" s="2">
        <f t="shared" si="2"/>
        <v>12422.34</v>
      </c>
      <c r="M50" s="2" t="str">
        <f t="shared" si="4"/>
        <v>Medium</v>
      </c>
      <c r="N50" s="2">
        <f t="shared" si="0"/>
        <v>27.19</v>
      </c>
    </row>
    <row r="51" spans="1:14" x14ac:dyDescent="0.3">
      <c r="A51" s="2" t="s">
        <v>292</v>
      </c>
      <c r="B51" s="2" t="s">
        <v>238</v>
      </c>
      <c r="C51" s="2" t="s">
        <v>229</v>
      </c>
      <c r="D51" s="2" t="s">
        <v>254</v>
      </c>
      <c r="E51" s="2">
        <v>9621477109</v>
      </c>
      <c r="F51" s="2" t="s">
        <v>98</v>
      </c>
      <c r="G51" s="2" t="s">
        <v>122</v>
      </c>
      <c r="H51" s="2">
        <v>644.14</v>
      </c>
      <c r="I51" s="2">
        <v>12</v>
      </c>
      <c r="J51" s="2">
        <v>988.52</v>
      </c>
      <c r="K51" s="2" t="s">
        <v>243</v>
      </c>
      <c r="L51" s="2">
        <f t="shared" si="2"/>
        <v>7729.68</v>
      </c>
      <c r="M51" s="2" t="str">
        <f t="shared" si="4"/>
        <v>Low</v>
      </c>
      <c r="N51" s="2">
        <f t="shared" si="0"/>
        <v>12.79</v>
      </c>
    </row>
    <row r="52" spans="1:14" x14ac:dyDescent="0.3">
      <c r="A52" s="2" t="s">
        <v>293</v>
      </c>
      <c r="B52" s="2" t="s">
        <v>238</v>
      </c>
      <c r="C52" s="2" t="s">
        <v>229</v>
      </c>
      <c r="D52" s="2" t="s">
        <v>239</v>
      </c>
      <c r="E52" s="2">
        <v>9813614929</v>
      </c>
      <c r="F52" s="2" t="s">
        <v>234</v>
      </c>
      <c r="G52" s="2" t="s">
        <v>242</v>
      </c>
      <c r="H52" s="2">
        <v>1767.47</v>
      </c>
      <c r="I52" s="2">
        <v>13</v>
      </c>
      <c r="J52" s="2">
        <v>3353.4</v>
      </c>
      <c r="K52" s="2" t="s">
        <v>116</v>
      </c>
      <c r="L52" s="2">
        <f t="shared" si="2"/>
        <v>22977.11</v>
      </c>
      <c r="M52" s="2" t="str">
        <f t="shared" si="4"/>
        <v>High</v>
      </c>
      <c r="N52" s="2">
        <f t="shared" si="0"/>
        <v>14.59</v>
      </c>
    </row>
    <row r="53" spans="1:14" x14ac:dyDescent="0.3">
      <c r="A53" s="2" t="s">
        <v>294</v>
      </c>
      <c r="B53" s="2" t="s">
        <v>247</v>
      </c>
      <c r="C53" s="2" t="s">
        <v>229</v>
      </c>
      <c r="D53" s="2" t="s">
        <v>248</v>
      </c>
      <c r="E53" s="2">
        <v>9314930259</v>
      </c>
      <c r="F53" s="2" t="s">
        <v>231</v>
      </c>
      <c r="G53" s="2" t="s">
        <v>120</v>
      </c>
      <c r="H53" s="2">
        <v>2506.6</v>
      </c>
      <c r="I53" s="2">
        <v>11</v>
      </c>
      <c r="J53" s="2">
        <v>8011.16</v>
      </c>
      <c r="K53" s="2" t="s">
        <v>116</v>
      </c>
      <c r="L53" s="2">
        <f t="shared" si="2"/>
        <v>27572.6</v>
      </c>
      <c r="M53" s="2" t="str">
        <f t="shared" si="4"/>
        <v>High</v>
      </c>
      <c r="N53" s="2">
        <f t="shared" si="0"/>
        <v>29.05</v>
      </c>
    </row>
    <row r="54" spans="1:14" x14ac:dyDescent="0.3">
      <c r="A54" s="2" t="s">
        <v>295</v>
      </c>
      <c r="B54" s="2" t="s">
        <v>228</v>
      </c>
      <c r="C54" s="2" t="s">
        <v>229</v>
      </c>
      <c r="D54" s="2" t="s">
        <v>239</v>
      </c>
      <c r="E54" s="2">
        <v>93262535688</v>
      </c>
      <c r="F54" s="2" t="s">
        <v>98</v>
      </c>
      <c r="G54" s="2" t="s">
        <v>156</v>
      </c>
      <c r="H54" s="2">
        <v>727.87</v>
      </c>
      <c r="I54" s="2">
        <v>2</v>
      </c>
      <c r="J54" s="2">
        <v>385.93</v>
      </c>
      <c r="K54" s="2" t="s">
        <v>100</v>
      </c>
      <c r="L54" s="2">
        <f t="shared" si="2"/>
        <v>1455.74</v>
      </c>
      <c r="M54" s="2" t="str">
        <f t="shared" si="4"/>
        <v>Low</v>
      </c>
      <c r="N54" s="2">
        <f t="shared" si="0"/>
        <v>26.51</v>
      </c>
    </row>
    <row r="55" spans="1:14" x14ac:dyDescent="0.3">
      <c r="A55" s="2" t="s">
        <v>296</v>
      </c>
      <c r="B55" s="2" t="s">
        <v>228</v>
      </c>
      <c r="C55" s="2" t="s">
        <v>229</v>
      </c>
      <c r="D55" s="2" t="s">
        <v>268</v>
      </c>
      <c r="E55" s="2">
        <v>9922473225</v>
      </c>
      <c r="F55" s="2" t="s">
        <v>234</v>
      </c>
      <c r="G55" s="2" t="s">
        <v>242</v>
      </c>
      <c r="H55" s="2">
        <v>2509.39</v>
      </c>
      <c r="I55" s="2">
        <v>4</v>
      </c>
      <c r="J55" s="2">
        <v>2607.48</v>
      </c>
      <c r="K55" s="2" t="s">
        <v>100</v>
      </c>
      <c r="L55" s="2">
        <f t="shared" si="2"/>
        <v>10037.56</v>
      </c>
      <c r="M55" s="2" t="str">
        <f t="shared" si="4"/>
        <v>Medium</v>
      </c>
      <c r="N55" s="2">
        <f t="shared" si="0"/>
        <v>25.98</v>
      </c>
    </row>
    <row r="56" spans="1:14" x14ac:dyDescent="0.3">
      <c r="A56" s="2" t="s">
        <v>297</v>
      </c>
      <c r="B56" s="2" t="s">
        <v>259</v>
      </c>
      <c r="C56" s="2" t="s">
        <v>229</v>
      </c>
      <c r="D56" s="2" t="s">
        <v>256</v>
      </c>
      <c r="E56" s="2">
        <v>9435049619</v>
      </c>
      <c r="F56" s="2" t="s">
        <v>98</v>
      </c>
      <c r="G56" s="2" t="s">
        <v>263</v>
      </c>
      <c r="H56" s="2">
        <v>254.27</v>
      </c>
      <c r="I56" s="2">
        <v>5</v>
      </c>
      <c r="J56" s="2">
        <v>247.89</v>
      </c>
      <c r="K56" s="2" t="s">
        <v>236</v>
      </c>
      <c r="L56" s="2">
        <f t="shared" si="2"/>
        <v>1271.3500000000001</v>
      </c>
      <c r="M56" s="2" t="str">
        <f t="shared" si="4"/>
        <v>Low</v>
      </c>
      <c r="N56" s="2">
        <f t="shared" si="0"/>
        <v>19.5</v>
      </c>
    </row>
    <row r="57" spans="1:14" x14ac:dyDescent="0.3">
      <c r="A57" s="2" t="s">
        <v>298</v>
      </c>
      <c r="B57" s="2" t="s">
        <v>247</v>
      </c>
      <c r="C57" s="2" t="s">
        <v>229</v>
      </c>
      <c r="D57" s="2" t="s">
        <v>268</v>
      </c>
      <c r="E57" s="2">
        <v>9139717689</v>
      </c>
      <c r="F57" s="2" t="s">
        <v>98</v>
      </c>
      <c r="G57" s="2" t="s">
        <v>156</v>
      </c>
      <c r="H57" s="2">
        <v>1104.23</v>
      </c>
      <c r="I57" s="2">
        <v>11</v>
      </c>
      <c r="J57" s="2">
        <v>1883.37</v>
      </c>
      <c r="K57" s="2" t="s">
        <v>100</v>
      </c>
      <c r="L57" s="2">
        <f t="shared" si="2"/>
        <v>12146.53</v>
      </c>
      <c r="M57" s="2" t="str">
        <f t="shared" si="4"/>
        <v>Medium</v>
      </c>
      <c r="N57" s="2">
        <f t="shared" si="0"/>
        <v>15.51</v>
      </c>
    </row>
    <row r="58" spans="1:14" x14ac:dyDescent="0.3">
      <c r="A58" s="2" t="s">
        <v>299</v>
      </c>
      <c r="B58" s="2" t="s">
        <v>238</v>
      </c>
      <c r="C58" s="2" t="s">
        <v>229</v>
      </c>
      <c r="D58" s="2" t="s">
        <v>239</v>
      </c>
      <c r="E58" s="2">
        <v>9873282041</v>
      </c>
      <c r="F58" s="2" t="s">
        <v>98</v>
      </c>
      <c r="G58" s="2" t="s">
        <v>115</v>
      </c>
      <c r="H58" s="2">
        <v>861.53</v>
      </c>
      <c r="I58" s="2">
        <v>3</v>
      </c>
      <c r="J58" s="2">
        <v>482.01</v>
      </c>
      <c r="K58" s="2" t="s">
        <v>266</v>
      </c>
      <c r="L58" s="2">
        <f t="shared" si="2"/>
        <v>2584.59</v>
      </c>
      <c r="M58" s="2" t="str">
        <f t="shared" si="4"/>
        <v>Low</v>
      </c>
      <c r="N58" s="2">
        <f t="shared" si="0"/>
        <v>18.649999999999999</v>
      </c>
    </row>
    <row r="59" spans="1:14" x14ac:dyDescent="0.3">
      <c r="A59" s="2" t="s">
        <v>300</v>
      </c>
      <c r="B59" s="2" t="s">
        <v>259</v>
      </c>
      <c r="C59" s="2" t="s">
        <v>229</v>
      </c>
      <c r="D59" s="2" t="s">
        <v>239</v>
      </c>
      <c r="E59" s="2">
        <v>9520705759</v>
      </c>
      <c r="F59" s="2" t="s">
        <v>231</v>
      </c>
      <c r="G59" s="2" t="s">
        <v>240</v>
      </c>
      <c r="H59" s="2">
        <v>940.76</v>
      </c>
      <c r="I59" s="2">
        <v>4</v>
      </c>
      <c r="J59" s="2">
        <v>842.47</v>
      </c>
      <c r="K59" s="2" t="s">
        <v>266</v>
      </c>
      <c r="L59" s="2">
        <f t="shared" si="2"/>
        <v>3763.04</v>
      </c>
      <c r="M59" s="2" t="str">
        <f t="shared" si="4"/>
        <v>Low</v>
      </c>
      <c r="N59" s="2">
        <f t="shared" si="0"/>
        <v>22.39</v>
      </c>
    </row>
    <row r="60" spans="1:14" x14ac:dyDescent="0.3">
      <c r="A60" s="2" t="s">
        <v>301</v>
      </c>
      <c r="B60" s="2" t="s">
        <v>247</v>
      </c>
      <c r="C60" s="2" t="s">
        <v>229</v>
      </c>
      <c r="D60" s="2" t="s">
        <v>239</v>
      </c>
      <c r="E60" s="2">
        <v>9648648568</v>
      </c>
      <c r="F60" s="2" t="s">
        <v>231</v>
      </c>
      <c r="G60" s="2" t="s">
        <v>240</v>
      </c>
      <c r="H60" s="2">
        <v>1505.5</v>
      </c>
      <c r="I60" s="2">
        <v>11</v>
      </c>
      <c r="J60" s="2">
        <v>3985.19</v>
      </c>
      <c r="K60" s="2" t="s">
        <v>266</v>
      </c>
      <c r="L60" s="2">
        <f t="shared" si="2"/>
        <v>16560.5</v>
      </c>
      <c r="M60" s="2" t="str">
        <f t="shared" si="4"/>
        <v>Medium</v>
      </c>
      <c r="N60" s="2">
        <f t="shared" si="0"/>
        <v>24.06</v>
      </c>
    </row>
    <row r="61" spans="1:14" x14ac:dyDescent="0.3">
      <c r="A61" s="2" t="s">
        <v>302</v>
      </c>
      <c r="B61" s="2" t="s">
        <v>228</v>
      </c>
      <c r="C61" s="2" t="s">
        <v>229</v>
      </c>
      <c r="D61" s="2" t="s">
        <v>268</v>
      </c>
      <c r="E61" s="2">
        <v>9416435713</v>
      </c>
      <c r="F61" s="2" t="s">
        <v>231</v>
      </c>
      <c r="G61" s="2" t="s">
        <v>112</v>
      </c>
      <c r="H61" s="2">
        <v>1477.49</v>
      </c>
      <c r="I61" s="2">
        <v>11</v>
      </c>
      <c r="J61" s="2">
        <v>2428.98</v>
      </c>
      <c r="K61" s="2" t="s">
        <v>100</v>
      </c>
      <c r="L61" s="2">
        <f t="shared" si="2"/>
        <v>16252.39</v>
      </c>
      <c r="M61" s="2" t="str">
        <f t="shared" si="4"/>
        <v>Medium</v>
      </c>
      <c r="N61" s="2">
        <f t="shared" si="0"/>
        <v>14.95</v>
      </c>
    </row>
    <row r="62" spans="1:14" x14ac:dyDescent="0.3">
      <c r="A62" s="2" t="s">
        <v>303</v>
      </c>
      <c r="B62" s="2" t="s">
        <v>247</v>
      </c>
      <c r="C62" s="2" t="s">
        <v>229</v>
      </c>
      <c r="D62" s="2" t="s">
        <v>256</v>
      </c>
      <c r="E62" s="2">
        <v>9211381294</v>
      </c>
      <c r="F62" s="2" t="s">
        <v>234</v>
      </c>
      <c r="G62" s="2" t="s">
        <v>250</v>
      </c>
      <c r="H62" s="2">
        <v>704.64</v>
      </c>
      <c r="I62" s="2">
        <v>2</v>
      </c>
      <c r="J62" s="2">
        <v>163.57</v>
      </c>
      <c r="K62" s="2" t="s">
        <v>116</v>
      </c>
      <c r="L62" s="2">
        <f t="shared" si="2"/>
        <v>1409.28</v>
      </c>
      <c r="M62" s="2" t="str">
        <f t="shared" si="4"/>
        <v>Low</v>
      </c>
      <c r="N62" s="2">
        <f t="shared" si="0"/>
        <v>11.61</v>
      </c>
    </row>
    <row r="63" spans="1:14" x14ac:dyDescent="0.3">
      <c r="A63" s="2" t="s">
        <v>304</v>
      </c>
      <c r="B63" s="2" t="s">
        <v>259</v>
      </c>
      <c r="C63" s="2" t="s">
        <v>229</v>
      </c>
      <c r="D63" s="2" t="s">
        <v>239</v>
      </c>
      <c r="E63" s="2">
        <v>9791244114</v>
      </c>
      <c r="F63" s="2" t="s">
        <v>234</v>
      </c>
      <c r="G63" s="2" t="s">
        <v>281</v>
      </c>
      <c r="H63" s="2">
        <v>2030.2</v>
      </c>
      <c r="I63" s="2">
        <v>13</v>
      </c>
      <c r="J63" s="2">
        <v>3695.03</v>
      </c>
      <c r="K63" s="2" t="s">
        <v>236</v>
      </c>
      <c r="L63" s="2">
        <f t="shared" si="2"/>
        <v>26392.600000000002</v>
      </c>
      <c r="M63" s="2" t="str">
        <f t="shared" si="4"/>
        <v>High</v>
      </c>
      <c r="N63" s="2">
        <f t="shared" si="0"/>
        <v>14</v>
      </c>
    </row>
    <row r="64" spans="1:14" x14ac:dyDescent="0.3">
      <c r="A64" s="2" t="s">
        <v>305</v>
      </c>
      <c r="B64" s="2" t="s">
        <v>228</v>
      </c>
      <c r="C64" s="2" t="s">
        <v>229</v>
      </c>
      <c r="D64" s="2" t="s">
        <v>256</v>
      </c>
      <c r="E64" s="2">
        <v>9194670146</v>
      </c>
      <c r="F64" s="2" t="s">
        <v>231</v>
      </c>
      <c r="G64" s="2" t="s">
        <v>232</v>
      </c>
      <c r="H64" s="2">
        <v>1822.28</v>
      </c>
      <c r="I64" s="2">
        <v>4</v>
      </c>
      <c r="J64" s="2">
        <v>1973.2</v>
      </c>
      <c r="K64" s="2" t="s">
        <v>243</v>
      </c>
      <c r="L64" s="2">
        <f t="shared" si="2"/>
        <v>7289.12</v>
      </c>
      <c r="M64" s="2" t="str">
        <f t="shared" si="4"/>
        <v>Low</v>
      </c>
      <c r="N64" s="2">
        <f t="shared" si="0"/>
        <v>27.07</v>
      </c>
    </row>
    <row r="65" spans="1:14" x14ac:dyDescent="0.3">
      <c r="A65" s="2" t="s">
        <v>306</v>
      </c>
      <c r="B65" s="2" t="s">
        <v>259</v>
      </c>
      <c r="C65" s="2" t="s">
        <v>229</v>
      </c>
      <c r="D65" s="2" t="s">
        <v>252</v>
      </c>
      <c r="E65" s="2">
        <v>9519275644</v>
      </c>
      <c r="F65" s="2" t="s">
        <v>234</v>
      </c>
      <c r="G65" s="2" t="s">
        <v>242</v>
      </c>
      <c r="H65" s="2">
        <v>600.17999999999995</v>
      </c>
      <c r="I65" s="2">
        <v>11</v>
      </c>
      <c r="J65" s="2">
        <v>1525.57</v>
      </c>
      <c r="K65" s="2" t="s">
        <v>100</v>
      </c>
      <c r="L65" s="2">
        <f t="shared" si="2"/>
        <v>6601.98</v>
      </c>
      <c r="M65" s="2" t="str">
        <f t="shared" si="4"/>
        <v>Low</v>
      </c>
      <c r="N65" s="2">
        <f t="shared" si="0"/>
        <v>23.11</v>
      </c>
    </row>
    <row r="66" spans="1:14" x14ac:dyDescent="0.3">
      <c r="A66" s="2" t="s">
        <v>307</v>
      </c>
      <c r="B66" s="2" t="s">
        <v>238</v>
      </c>
      <c r="C66" s="2" t="s">
        <v>229</v>
      </c>
      <c r="D66" s="2" t="s">
        <v>252</v>
      </c>
      <c r="E66" s="2">
        <v>9520013561</v>
      </c>
      <c r="F66" s="2" t="s">
        <v>231</v>
      </c>
      <c r="G66" s="2" t="s">
        <v>240</v>
      </c>
      <c r="H66" s="2">
        <v>2330.36</v>
      </c>
      <c r="I66" s="2">
        <v>7</v>
      </c>
      <c r="J66" s="2">
        <v>3532.26</v>
      </c>
      <c r="K66" s="2" t="s">
        <v>266</v>
      </c>
      <c r="L66" s="2">
        <f t="shared" si="2"/>
        <v>16312.52</v>
      </c>
      <c r="M66" s="2" t="str">
        <f t="shared" si="4"/>
        <v>Medium</v>
      </c>
      <c r="N66" s="2">
        <f t="shared" si="0"/>
        <v>21.65</v>
      </c>
    </row>
    <row r="67" spans="1:14" x14ac:dyDescent="0.3">
      <c r="A67" s="2" t="s">
        <v>308</v>
      </c>
      <c r="B67" s="2" t="s">
        <v>259</v>
      </c>
      <c r="C67" s="2" t="s">
        <v>229</v>
      </c>
      <c r="D67" s="2" t="s">
        <v>254</v>
      </c>
      <c r="E67" s="2">
        <v>95989895092</v>
      </c>
      <c r="F67" s="2" t="s">
        <v>98</v>
      </c>
      <c r="G67" s="2" t="s">
        <v>128</v>
      </c>
      <c r="H67" s="2">
        <v>1084.67</v>
      </c>
      <c r="I67" s="2">
        <v>13</v>
      </c>
      <c r="J67" s="2">
        <v>4140.1400000000003</v>
      </c>
      <c r="K67" s="2" t="s">
        <v>243</v>
      </c>
      <c r="L67" s="2">
        <f t="shared" si="2"/>
        <v>14100.710000000001</v>
      </c>
      <c r="M67" s="2" t="str">
        <f t="shared" si="4"/>
        <v>Medium</v>
      </c>
      <c r="N67" s="2">
        <f t="shared" si="0"/>
        <v>29.36</v>
      </c>
    </row>
    <row r="68" spans="1:14" x14ac:dyDescent="0.3">
      <c r="A68" s="2" t="s">
        <v>309</v>
      </c>
      <c r="B68" s="2" t="s">
        <v>247</v>
      </c>
      <c r="C68" s="2" t="s">
        <v>229</v>
      </c>
      <c r="D68" s="2" t="s">
        <v>268</v>
      </c>
      <c r="E68" s="2">
        <v>9499862542</v>
      </c>
      <c r="F68" s="2" t="s">
        <v>234</v>
      </c>
      <c r="G68" s="2" t="s">
        <v>281</v>
      </c>
      <c r="H68" s="2">
        <v>1893.55</v>
      </c>
      <c r="I68" s="2">
        <v>12</v>
      </c>
      <c r="J68" s="2">
        <v>3204.64</v>
      </c>
      <c r="K68" s="2" t="s">
        <v>236</v>
      </c>
      <c r="L68" s="2">
        <f t="shared" si="2"/>
        <v>22722.6</v>
      </c>
      <c r="M68" s="2" t="str">
        <f t="shared" si="4"/>
        <v>High</v>
      </c>
      <c r="N68" s="2">
        <f t="shared" si="0"/>
        <v>14.1</v>
      </c>
    </row>
    <row r="69" spans="1:14" x14ac:dyDescent="0.3">
      <c r="A69" s="2" t="s">
        <v>310</v>
      </c>
      <c r="B69" s="2" t="s">
        <v>259</v>
      </c>
      <c r="C69" s="2" t="s">
        <v>229</v>
      </c>
      <c r="D69" s="2" t="s">
        <v>254</v>
      </c>
      <c r="E69" s="2">
        <v>9724136290</v>
      </c>
      <c r="F69" s="2" t="s">
        <v>234</v>
      </c>
      <c r="G69" s="2" t="s">
        <v>250</v>
      </c>
      <c r="H69" s="2">
        <v>1747.22</v>
      </c>
      <c r="I69" s="2">
        <v>6</v>
      </c>
      <c r="J69" s="2">
        <v>2678.22</v>
      </c>
      <c r="K69" s="2" t="s">
        <v>243</v>
      </c>
      <c r="L69" s="2">
        <f t="shared" si="2"/>
        <v>10483.32</v>
      </c>
      <c r="M69" s="2" t="str">
        <f t="shared" si="4"/>
        <v>Medium</v>
      </c>
      <c r="N69" s="2">
        <f t="shared" si="0"/>
        <v>25.55</v>
      </c>
    </row>
    <row r="70" spans="1:14" x14ac:dyDescent="0.3">
      <c r="A70" s="2" t="s">
        <v>311</v>
      </c>
      <c r="B70" s="2" t="s">
        <v>247</v>
      </c>
      <c r="C70" s="2" t="s">
        <v>229</v>
      </c>
      <c r="D70" s="2" t="s">
        <v>254</v>
      </c>
      <c r="E70" s="2">
        <v>9321909198</v>
      </c>
      <c r="F70" s="2" t="s">
        <v>234</v>
      </c>
      <c r="G70" s="2" t="s">
        <v>160</v>
      </c>
      <c r="H70" s="2">
        <v>287.31</v>
      </c>
      <c r="I70" s="2">
        <v>8</v>
      </c>
      <c r="J70" s="2">
        <v>381.56</v>
      </c>
      <c r="K70" s="2" t="s">
        <v>266</v>
      </c>
      <c r="L70" s="2">
        <f t="shared" si="2"/>
        <v>2298.48</v>
      </c>
      <c r="M70" s="2" t="str">
        <f t="shared" si="4"/>
        <v>Low</v>
      </c>
      <c r="N70" s="2">
        <f t="shared" si="0"/>
        <v>16.600000000000001</v>
      </c>
    </row>
    <row r="71" spans="1:14" x14ac:dyDescent="0.3">
      <c r="A71" s="2" t="s">
        <v>312</v>
      </c>
      <c r="B71" s="2" t="s">
        <v>259</v>
      </c>
      <c r="C71" s="2" t="s">
        <v>229</v>
      </c>
      <c r="D71" s="2" t="s">
        <v>252</v>
      </c>
      <c r="E71" s="2">
        <v>9760693305</v>
      </c>
      <c r="F71" s="2" t="s">
        <v>231</v>
      </c>
      <c r="G71" s="2" t="s">
        <v>232</v>
      </c>
      <c r="H71" s="2">
        <v>1700.05</v>
      </c>
      <c r="I71" s="2">
        <v>2</v>
      </c>
      <c r="J71" s="2">
        <v>383.92</v>
      </c>
      <c r="K71" s="2" t="s">
        <v>116</v>
      </c>
      <c r="L71" s="2">
        <f t="shared" si="2"/>
        <v>3400.1</v>
      </c>
      <c r="M71" s="2" t="str">
        <f t="shared" si="4"/>
        <v>Low</v>
      </c>
      <c r="N71" s="2">
        <f t="shared" si="0"/>
        <v>11.29</v>
      </c>
    </row>
    <row r="72" spans="1:14" x14ac:dyDescent="0.3">
      <c r="A72" s="2" t="s">
        <v>313</v>
      </c>
      <c r="B72" s="2" t="s">
        <v>247</v>
      </c>
      <c r="C72" s="2" t="s">
        <v>229</v>
      </c>
      <c r="D72" s="2" t="s">
        <v>254</v>
      </c>
      <c r="E72" s="2">
        <v>9658575570</v>
      </c>
      <c r="F72" s="2" t="s">
        <v>234</v>
      </c>
      <c r="G72" s="2" t="s">
        <v>160</v>
      </c>
      <c r="H72" s="2">
        <v>1180.31</v>
      </c>
      <c r="I72" s="2">
        <v>7</v>
      </c>
      <c r="J72" s="2">
        <v>847.73</v>
      </c>
      <c r="K72" s="2" t="s">
        <v>116</v>
      </c>
      <c r="L72" s="2">
        <f t="shared" si="2"/>
        <v>8262.17</v>
      </c>
      <c r="M72" s="2" t="str">
        <f t="shared" si="4"/>
        <v>Low</v>
      </c>
      <c r="N72" s="2">
        <f t="shared" si="0"/>
        <v>10.26</v>
      </c>
    </row>
    <row r="73" spans="1:14" x14ac:dyDescent="0.3">
      <c r="A73" s="2" t="s">
        <v>314</v>
      </c>
      <c r="B73" s="2" t="s">
        <v>238</v>
      </c>
      <c r="C73" s="2" t="s">
        <v>229</v>
      </c>
      <c r="D73" s="2" t="s">
        <v>254</v>
      </c>
      <c r="E73" s="2">
        <v>9950273824</v>
      </c>
      <c r="F73" s="2" t="s">
        <v>234</v>
      </c>
      <c r="G73" s="2" t="s">
        <v>281</v>
      </c>
      <c r="H73" s="2">
        <v>653.35</v>
      </c>
      <c r="I73" s="2">
        <v>4</v>
      </c>
      <c r="J73" s="2">
        <v>345.46</v>
      </c>
      <c r="K73" s="2" t="s">
        <v>100</v>
      </c>
      <c r="L73" s="2">
        <f t="shared" si="2"/>
        <v>2613.4</v>
      </c>
      <c r="M73" s="2" t="str">
        <f t="shared" si="4"/>
        <v>Low</v>
      </c>
      <c r="N73" s="2">
        <f t="shared" si="0"/>
        <v>13.22</v>
      </c>
    </row>
    <row r="74" spans="1:14" x14ac:dyDescent="0.3">
      <c r="A74" s="2" t="s">
        <v>315</v>
      </c>
      <c r="B74" s="2" t="s">
        <v>238</v>
      </c>
      <c r="C74" s="2" t="s">
        <v>229</v>
      </c>
      <c r="D74" s="2" t="s">
        <v>248</v>
      </c>
      <c r="E74" s="2">
        <v>9898816813</v>
      </c>
      <c r="F74" s="2" t="s">
        <v>98</v>
      </c>
      <c r="G74" s="2" t="s">
        <v>115</v>
      </c>
      <c r="H74" s="2">
        <v>1881.74</v>
      </c>
      <c r="I74" s="2">
        <v>4</v>
      </c>
      <c r="J74" s="2">
        <v>1363.83</v>
      </c>
      <c r="K74" s="2" t="s">
        <v>266</v>
      </c>
      <c r="L74" s="2">
        <f t="shared" si="2"/>
        <v>7526.96</v>
      </c>
      <c r="M74" s="2" t="str">
        <f t="shared" si="4"/>
        <v>Low</v>
      </c>
      <c r="N74" s="2">
        <f t="shared" si="0"/>
        <v>18.12</v>
      </c>
    </row>
    <row r="75" spans="1:14" x14ac:dyDescent="0.3">
      <c r="A75" s="2" t="s">
        <v>316</v>
      </c>
      <c r="B75" s="2" t="s">
        <v>259</v>
      </c>
      <c r="C75" s="2" t="s">
        <v>229</v>
      </c>
      <c r="D75" s="2" t="s">
        <v>256</v>
      </c>
      <c r="E75" s="2">
        <v>9571594565</v>
      </c>
      <c r="F75" s="2" t="s">
        <v>234</v>
      </c>
      <c r="G75" s="2" t="s">
        <v>235</v>
      </c>
      <c r="H75" s="2">
        <v>1206.3499999999999</v>
      </c>
      <c r="I75" s="2">
        <v>15</v>
      </c>
      <c r="J75" s="2">
        <v>2801.82</v>
      </c>
      <c r="K75" s="2" t="s">
        <v>116</v>
      </c>
      <c r="L75" s="2">
        <f t="shared" si="2"/>
        <v>18095.25</v>
      </c>
      <c r="M75" s="2" t="str">
        <f t="shared" si="4"/>
        <v>Medium</v>
      </c>
      <c r="N75" s="2">
        <f t="shared" si="0"/>
        <v>15.48</v>
      </c>
    </row>
    <row r="76" spans="1:14" x14ac:dyDescent="0.3">
      <c r="A76" s="2" t="s">
        <v>317</v>
      </c>
      <c r="B76" s="2" t="s">
        <v>238</v>
      </c>
      <c r="C76" s="2" t="s">
        <v>229</v>
      </c>
      <c r="D76" s="2" t="s">
        <v>252</v>
      </c>
      <c r="E76" s="2">
        <v>9684352160</v>
      </c>
      <c r="F76" s="2" t="s">
        <v>231</v>
      </c>
      <c r="G76" s="2" t="s">
        <v>265</v>
      </c>
      <c r="H76" s="2">
        <v>1849.95</v>
      </c>
      <c r="I76" s="2">
        <v>5</v>
      </c>
      <c r="J76" s="2">
        <v>2111.02</v>
      </c>
      <c r="K76" s="2" t="s">
        <v>266</v>
      </c>
      <c r="L76" s="2">
        <f t="shared" si="2"/>
        <v>9249.75</v>
      </c>
      <c r="M76" s="2" t="str">
        <f t="shared" si="4"/>
        <v>Low</v>
      </c>
      <c r="N76" s="2">
        <f t="shared" ref="N76:N110" si="6">ROUND((J76/L76)*100,2)</f>
        <v>22.82</v>
      </c>
    </row>
    <row r="77" spans="1:14" x14ac:dyDescent="0.3">
      <c r="A77" s="2" t="s">
        <v>318</v>
      </c>
      <c r="B77" s="2" t="s">
        <v>228</v>
      </c>
      <c r="C77" s="2" t="s">
        <v>229</v>
      </c>
      <c r="D77" s="2" t="s">
        <v>239</v>
      </c>
      <c r="E77" s="2">
        <v>9845713875</v>
      </c>
      <c r="F77" s="2" t="s">
        <v>98</v>
      </c>
      <c r="G77" s="2" t="s">
        <v>156</v>
      </c>
      <c r="H77" s="2">
        <v>1896.1</v>
      </c>
      <c r="I77" s="2">
        <v>5</v>
      </c>
      <c r="J77" s="2">
        <v>2676.46</v>
      </c>
      <c r="K77" s="2" t="s">
        <v>266</v>
      </c>
      <c r="L77" s="2">
        <f t="shared" ref="L77:L110" si="7">H77*I77</f>
        <v>9480.5</v>
      </c>
      <c r="M77" s="2" t="str">
        <f t="shared" si="4"/>
        <v>Low</v>
      </c>
      <c r="N77" s="2">
        <f t="shared" si="6"/>
        <v>28.23</v>
      </c>
    </row>
    <row r="78" spans="1:14" x14ac:dyDescent="0.3">
      <c r="A78" s="2" t="s">
        <v>319</v>
      </c>
      <c r="B78" s="2" t="s">
        <v>238</v>
      </c>
      <c r="C78" s="2" t="s">
        <v>229</v>
      </c>
      <c r="D78" s="2" t="s">
        <v>248</v>
      </c>
      <c r="E78" s="2">
        <v>85</v>
      </c>
      <c r="F78" s="2" t="s">
        <v>234</v>
      </c>
      <c r="G78" s="2" t="s">
        <v>160</v>
      </c>
      <c r="H78" s="2">
        <v>1799.6</v>
      </c>
      <c r="I78" s="2">
        <v>6</v>
      </c>
      <c r="J78" s="2">
        <v>1551.79</v>
      </c>
      <c r="K78" s="2" t="s">
        <v>243</v>
      </c>
      <c r="L78" s="2">
        <f t="shared" si="7"/>
        <v>10797.599999999999</v>
      </c>
      <c r="M78" s="2" t="str">
        <f t="shared" si="4"/>
        <v>Medium</v>
      </c>
      <c r="N78" s="2">
        <f t="shared" si="6"/>
        <v>14.37</v>
      </c>
    </row>
    <row r="79" spans="1:14" x14ac:dyDescent="0.3">
      <c r="A79" s="2" t="s">
        <v>320</v>
      </c>
      <c r="B79" s="2" t="s">
        <v>259</v>
      </c>
      <c r="C79" s="2" t="s">
        <v>229</v>
      </c>
      <c r="D79" s="2" t="s">
        <v>230</v>
      </c>
      <c r="E79" s="2">
        <v>9304184751</v>
      </c>
      <c r="F79" s="2" t="s">
        <v>234</v>
      </c>
      <c r="G79" s="2" t="s">
        <v>281</v>
      </c>
      <c r="H79" s="2">
        <v>1330.26</v>
      </c>
      <c r="I79" s="2">
        <v>2</v>
      </c>
      <c r="J79" s="2">
        <v>669.54</v>
      </c>
      <c r="K79" s="2" t="s">
        <v>100</v>
      </c>
      <c r="L79" s="2">
        <f t="shared" si="7"/>
        <v>2660.52</v>
      </c>
      <c r="M79" s="2" t="str">
        <f t="shared" si="4"/>
        <v>Low</v>
      </c>
      <c r="N79" s="2">
        <f t="shared" si="6"/>
        <v>25.17</v>
      </c>
    </row>
    <row r="80" spans="1:14" x14ac:dyDescent="0.3">
      <c r="A80" s="2" t="s">
        <v>321</v>
      </c>
      <c r="B80" s="2" t="s">
        <v>259</v>
      </c>
      <c r="C80" s="2" t="s">
        <v>229</v>
      </c>
      <c r="D80" s="2" t="s">
        <v>256</v>
      </c>
      <c r="E80" s="2">
        <v>9141039856</v>
      </c>
      <c r="F80" s="2" t="s">
        <v>98</v>
      </c>
      <c r="G80" s="2" t="s">
        <v>122</v>
      </c>
      <c r="H80" s="2">
        <v>322.57</v>
      </c>
      <c r="I80" s="2">
        <v>13</v>
      </c>
      <c r="J80" s="2">
        <v>684.45</v>
      </c>
      <c r="K80" s="2" t="s">
        <v>266</v>
      </c>
      <c r="L80" s="2">
        <f t="shared" si="7"/>
        <v>4193.41</v>
      </c>
      <c r="M80" s="2" t="str">
        <f t="shared" ref="M80:M110" si="8">IF(L80&gt;20000,"High",IF(L80&gt;=10000,"Medium","Low"))</f>
        <v>Low</v>
      </c>
      <c r="N80" s="2">
        <f t="shared" si="6"/>
        <v>16.32</v>
      </c>
    </row>
    <row r="81" spans="1:14" x14ac:dyDescent="0.3">
      <c r="A81" s="2" t="s">
        <v>322</v>
      </c>
      <c r="B81" s="2" t="s">
        <v>247</v>
      </c>
      <c r="C81" s="2" t="s">
        <v>229</v>
      </c>
      <c r="D81" s="2" t="s">
        <v>248</v>
      </c>
      <c r="E81" s="2">
        <v>9640589740</v>
      </c>
      <c r="F81" s="2" t="s">
        <v>98</v>
      </c>
      <c r="G81" s="2" t="s">
        <v>156</v>
      </c>
      <c r="H81" s="2">
        <v>1510.41</v>
      </c>
      <c r="I81" s="2">
        <v>1</v>
      </c>
      <c r="J81" s="2">
        <v>434.79</v>
      </c>
      <c r="K81" s="2" t="s">
        <v>236</v>
      </c>
      <c r="L81" s="2">
        <f t="shared" si="7"/>
        <v>1510.41</v>
      </c>
      <c r="M81" s="2" t="str">
        <f t="shared" si="8"/>
        <v>Low</v>
      </c>
      <c r="N81" s="2">
        <f t="shared" si="6"/>
        <v>28.79</v>
      </c>
    </row>
    <row r="82" spans="1:14" x14ac:dyDescent="0.3">
      <c r="A82" s="2" t="s">
        <v>323</v>
      </c>
      <c r="B82" s="2" t="s">
        <v>238</v>
      </c>
      <c r="C82" s="2" t="s">
        <v>229</v>
      </c>
      <c r="D82" s="2" t="s">
        <v>230</v>
      </c>
      <c r="E82" s="2">
        <v>9406517796</v>
      </c>
      <c r="F82" s="2" t="s">
        <v>231</v>
      </c>
      <c r="G82" s="2" t="s">
        <v>120</v>
      </c>
      <c r="H82" s="2">
        <v>1085.52</v>
      </c>
      <c r="I82" s="2">
        <v>4</v>
      </c>
      <c r="J82" s="2">
        <v>749.57</v>
      </c>
      <c r="K82" s="2" t="s">
        <v>100</v>
      </c>
      <c r="L82" s="2">
        <f t="shared" si="7"/>
        <v>4342.08</v>
      </c>
      <c r="M82" s="2" t="str">
        <f t="shared" si="8"/>
        <v>Low</v>
      </c>
      <c r="N82" s="2">
        <f t="shared" si="6"/>
        <v>17.260000000000002</v>
      </c>
    </row>
    <row r="83" spans="1:14" x14ac:dyDescent="0.3">
      <c r="A83" s="2" t="s">
        <v>324</v>
      </c>
      <c r="B83" s="2" t="s">
        <v>238</v>
      </c>
      <c r="C83" s="2" t="s">
        <v>229</v>
      </c>
      <c r="D83" s="2" t="s">
        <v>252</v>
      </c>
      <c r="E83" s="2">
        <v>9606169051</v>
      </c>
      <c r="F83" s="2" t="s">
        <v>234</v>
      </c>
      <c r="G83" s="2" t="s">
        <v>235</v>
      </c>
      <c r="H83" s="2">
        <v>1441.79</v>
      </c>
      <c r="I83" s="2">
        <v>14</v>
      </c>
      <c r="J83" s="2">
        <v>3929.03</v>
      </c>
      <c r="K83" s="2" t="s">
        <v>266</v>
      </c>
      <c r="L83" s="2">
        <f t="shared" si="7"/>
        <v>20185.059999999998</v>
      </c>
      <c r="M83" s="2" t="str">
        <f t="shared" si="8"/>
        <v>High</v>
      </c>
      <c r="N83" s="2">
        <f t="shared" si="6"/>
        <v>19.47</v>
      </c>
    </row>
    <row r="84" spans="1:14" x14ac:dyDescent="0.3">
      <c r="A84" s="2" t="s">
        <v>325</v>
      </c>
      <c r="B84" s="2" t="s">
        <v>259</v>
      </c>
      <c r="C84" s="2" t="s">
        <v>229</v>
      </c>
      <c r="D84" s="2" t="s">
        <v>256</v>
      </c>
      <c r="E84" s="2">
        <v>9350461925</v>
      </c>
      <c r="F84" s="2" t="s">
        <v>234</v>
      </c>
      <c r="G84" s="2" t="s">
        <v>281</v>
      </c>
      <c r="H84" s="2">
        <v>686.64</v>
      </c>
      <c r="I84" s="2">
        <v>8</v>
      </c>
      <c r="J84" s="2">
        <v>878.07</v>
      </c>
      <c r="K84" s="2" t="s">
        <v>100</v>
      </c>
      <c r="L84" s="2">
        <f t="shared" si="7"/>
        <v>5493.12</v>
      </c>
      <c r="M84" s="2" t="str">
        <f t="shared" si="8"/>
        <v>Low</v>
      </c>
      <c r="N84" s="2">
        <f t="shared" si="6"/>
        <v>15.98</v>
      </c>
    </row>
    <row r="85" spans="1:14" x14ac:dyDescent="0.3">
      <c r="A85" s="2" t="s">
        <v>326</v>
      </c>
      <c r="B85" s="2" t="s">
        <v>228</v>
      </c>
      <c r="C85" s="2" t="s">
        <v>229</v>
      </c>
      <c r="D85" s="2" t="s">
        <v>239</v>
      </c>
      <c r="E85" s="2">
        <v>9996467468</v>
      </c>
      <c r="F85" s="2" t="s">
        <v>231</v>
      </c>
      <c r="G85" s="2" t="s">
        <v>120</v>
      </c>
      <c r="H85" s="2">
        <v>2830.64</v>
      </c>
      <c r="I85" s="2">
        <v>6</v>
      </c>
      <c r="J85" s="2">
        <v>1830.75</v>
      </c>
      <c r="K85" s="2" t="s">
        <v>100</v>
      </c>
      <c r="L85" s="2">
        <f t="shared" si="7"/>
        <v>16983.84</v>
      </c>
      <c r="M85" s="2" t="str">
        <f t="shared" si="8"/>
        <v>Medium</v>
      </c>
      <c r="N85" s="2">
        <f t="shared" si="6"/>
        <v>10.78</v>
      </c>
    </row>
    <row r="86" spans="1:14" x14ac:dyDescent="0.3">
      <c r="A86" s="2" t="s">
        <v>327</v>
      </c>
      <c r="B86" s="2" t="s">
        <v>228</v>
      </c>
      <c r="C86" s="2" t="s">
        <v>229</v>
      </c>
      <c r="D86" s="2" t="s">
        <v>256</v>
      </c>
      <c r="E86" s="2">
        <v>9128345710</v>
      </c>
      <c r="F86" s="2" t="s">
        <v>98</v>
      </c>
      <c r="G86" s="2" t="s">
        <v>128</v>
      </c>
      <c r="H86" s="2">
        <v>2619.08</v>
      </c>
      <c r="I86" s="2">
        <v>6</v>
      </c>
      <c r="J86" s="2">
        <v>4245.2299999999996</v>
      </c>
      <c r="K86" s="2" t="s">
        <v>236</v>
      </c>
      <c r="L86" s="2">
        <f t="shared" si="7"/>
        <v>15714.48</v>
      </c>
      <c r="M86" s="2" t="str">
        <f t="shared" si="8"/>
        <v>Medium</v>
      </c>
      <c r="N86" s="2">
        <f t="shared" si="6"/>
        <v>27.01</v>
      </c>
    </row>
    <row r="87" spans="1:14" x14ac:dyDescent="0.3">
      <c r="A87" s="2" t="s">
        <v>328</v>
      </c>
      <c r="B87" s="2" t="s">
        <v>247</v>
      </c>
      <c r="C87" s="2" t="s">
        <v>229</v>
      </c>
      <c r="D87" s="2" t="s">
        <v>254</v>
      </c>
      <c r="E87" s="2">
        <v>9392055351</v>
      </c>
      <c r="F87" s="2" t="s">
        <v>231</v>
      </c>
      <c r="G87" s="2" t="s">
        <v>112</v>
      </c>
      <c r="H87" s="2">
        <v>503.93</v>
      </c>
      <c r="I87" s="2">
        <v>11</v>
      </c>
      <c r="J87" s="2">
        <v>1183.48</v>
      </c>
      <c r="K87" s="2" t="s">
        <v>243</v>
      </c>
      <c r="L87" s="2">
        <f t="shared" si="7"/>
        <v>5543.2300000000005</v>
      </c>
      <c r="M87" s="2" t="str">
        <f t="shared" si="8"/>
        <v>Low</v>
      </c>
      <c r="N87" s="2">
        <f t="shared" si="6"/>
        <v>21.35</v>
      </c>
    </row>
    <row r="88" spans="1:14" x14ac:dyDescent="0.3">
      <c r="A88" s="2" t="s">
        <v>329</v>
      </c>
      <c r="B88" s="2" t="s">
        <v>238</v>
      </c>
      <c r="C88" s="2" t="s">
        <v>229</v>
      </c>
      <c r="D88" s="2" t="s">
        <v>248</v>
      </c>
      <c r="E88" s="2">
        <v>9980141994</v>
      </c>
      <c r="F88" s="2" t="s">
        <v>234</v>
      </c>
      <c r="G88" s="2" t="s">
        <v>160</v>
      </c>
      <c r="H88" s="2">
        <v>467.71</v>
      </c>
      <c r="I88" s="2">
        <v>12</v>
      </c>
      <c r="J88" s="2">
        <v>1223.23</v>
      </c>
      <c r="K88" s="2" t="s">
        <v>100</v>
      </c>
      <c r="L88" s="2">
        <f t="shared" si="7"/>
        <v>5612.5199999999995</v>
      </c>
      <c r="M88" s="2" t="str">
        <f t="shared" si="8"/>
        <v>Low</v>
      </c>
      <c r="N88" s="2">
        <f t="shared" si="6"/>
        <v>21.79</v>
      </c>
    </row>
    <row r="89" spans="1:14" x14ac:dyDescent="0.3">
      <c r="A89" s="2" t="s">
        <v>330</v>
      </c>
      <c r="B89" s="2" t="s">
        <v>228</v>
      </c>
      <c r="C89" s="2" t="s">
        <v>229</v>
      </c>
      <c r="D89" s="2" t="s">
        <v>252</v>
      </c>
      <c r="E89" s="2">
        <v>9403999543</v>
      </c>
      <c r="F89" s="2" t="s">
        <v>234</v>
      </c>
      <c r="G89" s="2" t="s">
        <v>250</v>
      </c>
      <c r="H89" s="2">
        <v>2307.34</v>
      </c>
      <c r="I89" s="2">
        <v>14</v>
      </c>
      <c r="J89" s="2">
        <v>3571.15</v>
      </c>
      <c r="K89" s="2" t="s">
        <v>266</v>
      </c>
      <c r="L89" s="2">
        <f t="shared" si="7"/>
        <v>32302.760000000002</v>
      </c>
      <c r="M89" s="2" t="str">
        <f t="shared" si="8"/>
        <v>High</v>
      </c>
      <c r="N89" s="2">
        <f t="shared" si="6"/>
        <v>11.06</v>
      </c>
    </row>
    <row r="90" spans="1:14" x14ac:dyDescent="0.3">
      <c r="A90" s="2" t="s">
        <v>331</v>
      </c>
      <c r="B90" s="2" t="s">
        <v>259</v>
      </c>
      <c r="C90" s="2" t="s">
        <v>229</v>
      </c>
      <c r="D90" s="2" t="s">
        <v>268</v>
      </c>
      <c r="E90" s="2">
        <v>9164427200</v>
      </c>
      <c r="F90" s="2" t="s">
        <v>98</v>
      </c>
      <c r="G90" s="2" t="s">
        <v>156</v>
      </c>
      <c r="H90" s="2">
        <v>1513.57</v>
      </c>
      <c r="I90" s="2">
        <v>14</v>
      </c>
      <c r="J90" s="2">
        <v>5761.18</v>
      </c>
      <c r="K90" s="2" t="s">
        <v>100</v>
      </c>
      <c r="L90" s="2">
        <f t="shared" si="7"/>
        <v>21189.98</v>
      </c>
      <c r="M90" s="2" t="str">
        <f t="shared" si="8"/>
        <v>High</v>
      </c>
      <c r="N90" s="2">
        <f t="shared" si="6"/>
        <v>27.19</v>
      </c>
    </row>
    <row r="91" spans="1:14" x14ac:dyDescent="0.3">
      <c r="A91" s="2" t="s">
        <v>332</v>
      </c>
      <c r="B91" s="2" t="s">
        <v>259</v>
      </c>
      <c r="C91" s="2" t="s">
        <v>229</v>
      </c>
      <c r="D91" s="2" t="s">
        <v>252</v>
      </c>
      <c r="E91" s="2">
        <v>858947</v>
      </c>
      <c r="F91" s="2" t="s">
        <v>234</v>
      </c>
      <c r="G91" s="2" t="s">
        <v>281</v>
      </c>
      <c r="H91" s="2">
        <v>2213.4499999999998</v>
      </c>
      <c r="I91" s="2">
        <v>3</v>
      </c>
      <c r="J91" s="2">
        <v>867.33</v>
      </c>
      <c r="K91" s="2" t="s">
        <v>266</v>
      </c>
      <c r="L91" s="2">
        <f t="shared" si="7"/>
        <v>6640.3499999999995</v>
      </c>
      <c r="M91" s="2" t="str">
        <f t="shared" si="8"/>
        <v>Low</v>
      </c>
      <c r="N91" s="2">
        <f t="shared" si="6"/>
        <v>13.06</v>
      </c>
    </row>
    <row r="92" spans="1:14" x14ac:dyDescent="0.3">
      <c r="A92" s="2" t="s">
        <v>333</v>
      </c>
      <c r="B92" s="2" t="s">
        <v>238</v>
      </c>
      <c r="C92" s="2" t="s">
        <v>229</v>
      </c>
      <c r="D92" s="2" t="s">
        <v>248</v>
      </c>
      <c r="E92" s="2">
        <v>9789825611</v>
      </c>
      <c r="F92" s="2" t="s">
        <v>231</v>
      </c>
      <c r="G92" s="2" t="s">
        <v>120</v>
      </c>
      <c r="H92" s="2">
        <v>384.21</v>
      </c>
      <c r="I92" s="2">
        <v>5</v>
      </c>
      <c r="J92" s="2">
        <v>354.16</v>
      </c>
      <c r="K92" s="2" t="s">
        <v>266</v>
      </c>
      <c r="L92" s="2">
        <f t="shared" si="7"/>
        <v>1921.05</v>
      </c>
      <c r="M92" s="2" t="str">
        <f t="shared" si="8"/>
        <v>Low</v>
      </c>
      <c r="N92" s="2">
        <f t="shared" si="6"/>
        <v>18.440000000000001</v>
      </c>
    </row>
    <row r="93" spans="1:14" x14ac:dyDescent="0.3">
      <c r="A93" s="2" t="s">
        <v>334</v>
      </c>
      <c r="B93" s="2" t="s">
        <v>247</v>
      </c>
      <c r="C93" s="2" t="s">
        <v>229</v>
      </c>
      <c r="D93" s="2" t="s">
        <v>252</v>
      </c>
      <c r="E93" s="2">
        <v>9371462183</v>
      </c>
      <c r="F93" s="2" t="s">
        <v>98</v>
      </c>
      <c r="G93" s="2" t="s">
        <v>128</v>
      </c>
      <c r="H93" s="2">
        <v>498.41</v>
      </c>
      <c r="I93" s="2">
        <v>7</v>
      </c>
      <c r="J93" s="2">
        <v>435.36</v>
      </c>
      <c r="K93" s="2" t="s">
        <v>116</v>
      </c>
      <c r="L93" s="2">
        <f t="shared" si="7"/>
        <v>3488.8700000000003</v>
      </c>
      <c r="M93" s="2" t="str">
        <f t="shared" si="8"/>
        <v>Low</v>
      </c>
      <c r="N93" s="2">
        <f t="shared" si="6"/>
        <v>12.48</v>
      </c>
    </row>
    <row r="94" spans="1:14" x14ac:dyDescent="0.3">
      <c r="A94" s="2" t="s">
        <v>335</v>
      </c>
      <c r="B94" s="2" t="s">
        <v>259</v>
      </c>
      <c r="C94" s="2" t="s">
        <v>229</v>
      </c>
      <c r="D94" s="2" t="s">
        <v>252</v>
      </c>
      <c r="E94" s="2">
        <v>9444893207</v>
      </c>
      <c r="F94" s="2" t="s">
        <v>231</v>
      </c>
      <c r="G94" s="2" t="s">
        <v>120</v>
      </c>
      <c r="H94" s="2">
        <v>1599.24</v>
      </c>
      <c r="I94" s="2">
        <v>10</v>
      </c>
      <c r="J94" s="2">
        <v>4368.75</v>
      </c>
      <c r="K94" s="2" t="s">
        <v>116</v>
      </c>
      <c r="L94" s="2">
        <f t="shared" si="7"/>
        <v>15992.4</v>
      </c>
      <c r="M94" s="2" t="str">
        <f t="shared" si="8"/>
        <v>Medium</v>
      </c>
      <c r="N94" s="2">
        <f t="shared" si="6"/>
        <v>27.32</v>
      </c>
    </row>
    <row r="95" spans="1:14" x14ac:dyDescent="0.3">
      <c r="A95" s="2" t="s">
        <v>336</v>
      </c>
      <c r="B95" s="2" t="s">
        <v>228</v>
      </c>
      <c r="C95" s="2" t="s">
        <v>229</v>
      </c>
      <c r="D95" s="2" t="s">
        <v>256</v>
      </c>
      <c r="E95" s="2">
        <v>9339358166</v>
      </c>
      <c r="F95" s="2" t="s">
        <v>234</v>
      </c>
      <c r="G95" s="2" t="s">
        <v>242</v>
      </c>
      <c r="H95" s="2">
        <v>962.07</v>
      </c>
      <c r="I95" s="2">
        <v>9</v>
      </c>
      <c r="J95" s="2">
        <v>905.89</v>
      </c>
      <c r="K95" s="2" t="s">
        <v>116</v>
      </c>
      <c r="L95" s="2">
        <f t="shared" si="7"/>
        <v>8658.630000000001</v>
      </c>
      <c r="M95" s="2" t="str">
        <f t="shared" si="8"/>
        <v>Low</v>
      </c>
      <c r="N95" s="2">
        <f t="shared" si="6"/>
        <v>10.46</v>
      </c>
    </row>
    <row r="96" spans="1:14" x14ac:dyDescent="0.3">
      <c r="A96" s="2" t="s">
        <v>337</v>
      </c>
      <c r="B96" s="2" t="s">
        <v>228</v>
      </c>
      <c r="C96" s="2" t="s">
        <v>229</v>
      </c>
      <c r="D96" s="2" t="s">
        <v>239</v>
      </c>
      <c r="E96" s="2">
        <v>9119201960</v>
      </c>
      <c r="F96" s="2" t="s">
        <v>234</v>
      </c>
      <c r="G96" s="2" t="s">
        <v>160</v>
      </c>
      <c r="H96" s="2">
        <v>1673.22</v>
      </c>
      <c r="I96" s="2">
        <v>7</v>
      </c>
      <c r="J96" s="2">
        <v>1935.04</v>
      </c>
      <c r="K96" s="2" t="s">
        <v>266</v>
      </c>
      <c r="L96" s="2">
        <f t="shared" si="7"/>
        <v>11712.54</v>
      </c>
      <c r="M96" s="2" t="str">
        <f t="shared" si="8"/>
        <v>Medium</v>
      </c>
      <c r="N96" s="2">
        <f t="shared" si="6"/>
        <v>16.52</v>
      </c>
    </row>
    <row r="97" spans="1:14" x14ac:dyDescent="0.3">
      <c r="A97" s="2" t="s">
        <v>338</v>
      </c>
      <c r="B97" s="2" t="s">
        <v>228</v>
      </c>
      <c r="C97" s="2" t="s">
        <v>229</v>
      </c>
      <c r="D97" s="2" t="s">
        <v>248</v>
      </c>
      <c r="E97" s="2">
        <v>9161700373</v>
      </c>
      <c r="F97" s="2" t="s">
        <v>231</v>
      </c>
      <c r="G97" s="2" t="s">
        <v>240</v>
      </c>
      <c r="H97" s="2">
        <v>791.24</v>
      </c>
      <c r="I97" s="2">
        <v>4</v>
      </c>
      <c r="J97" s="2">
        <v>366.17</v>
      </c>
      <c r="K97" s="2" t="s">
        <v>116</v>
      </c>
      <c r="L97" s="2">
        <f t="shared" si="7"/>
        <v>3164.96</v>
      </c>
      <c r="M97" s="2" t="str">
        <f t="shared" si="8"/>
        <v>Low</v>
      </c>
      <c r="N97" s="2">
        <f t="shared" si="6"/>
        <v>11.57</v>
      </c>
    </row>
    <row r="98" spans="1:14" x14ac:dyDescent="0.3">
      <c r="A98" s="2" t="s">
        <v>339</v>
      </c>
      <c r="B98" s="2" t="s">
        <v>238</v>
      </c>
      <c r="C98" s="2" t="s">
        <v>229</v>
      </c>
      <c r="D98" s="2" t="s">
        <v>268</v>
      </c>
      <c r="E98" s="2">
        <v>9242580997</v>
      </c>
      <c r="F98" s="2" t="s">
        <v>231</v>
      </c>
      <c r="G98" s="2" t="s">
        <v>112</v>
      </c>
      <c r="H98" s="2">
        <v>1210.8599999999999</v>
      </c>
      <c r="I98" s="2">
        <v>3</v>
      </c>
      <c r="J98" s="2">
        <v>698.75</v>
      </c>
      <c r="K98" s="2" t="s">
        <v>116</v>
      </c>
      <c r="L98" s="2">
        <f t="shared" si="7"/>
        <v>3632.58</v>
      </c>
      <c r="M98" s="2" t="str">
        <f t="shared" si="8"/>
        <v>Low</v>
      </c>
      <c r="N98" s="2">
        <f t="shared" si="6"/>
        <v>19.239999999999998</v>
      </c>
    </row>
    <row r="99" spans="1:14" x14ac:dyDescent="0.3">
      <c r="A99" s="2" t="s">
        <v>340</v>
      </c>
      <c r="B99" s="2" t="s">
        <v>259</v>
      </c>
      <c r="C99" s="2" t="s">
        <v>229</v>
      </c>
      <c r="D99" s="2" t="s">
        <v>254</v>
      </c>
      <c r="E99" s="2">
        <v>9370714466</v>
      </c>
      <c r="F99" s="2" t="s">
        <v>231</v>
      </c>
      <c r="G99" s="2" t="s">
        <v>240</v>
      </c>
      <c r="H99" s="2">
        <v>619.57000000000005</v>
      </c>
      <c r="I99" s="2">
        <v>7</v>
      </c>
      <c r="J99" s="2">
        <v>562.75</v>
      </c>
      <c r="K99" s="2" t="s">
        <v>116</v>
      </c>
      <c r="L99" s="2">
        <f t="shared" si="7"/>
        <v>4336.9900000000007</v>
      </c>
      <c r="M99" s="2" t="str">
        <f t="shared" si="8"/>
        <v>Low</v>
      </c>
      <c r="N99" s="2">
        <f t="shared" si="6"/>
        <v>12.98</v>
      </c>
    </row>
    <row r="100" spans="1:14" x14ac:dyDescent="0.3">
      <c r="A100" s="2" t="s">
        <v>341</v>
      </c>
      <c r="B100" s="2" t="s">
        <v>228</v>
      </c>
      <c r="C100" s="2" t="s">
        <v>229</v>
      </c>
      <c r="D100" s="2" t="s">
        <v>252</v>
      </c>
      <c r="E100" s="2">
        <v>9427647839</v>
      </c>
      <c r="F100" s="2" t="s">
        <v>98</v>
      </c>
      <c r="G100" s="2" t="s">
        <v>263</v>
      </c>
      <c r="H100" s="2">
        <v>308.5</v>
      </c>
      <c r="I100" s="2">
        <v>15</v>
      </c>
      <c r="J100" s="2">
        <v>802.96</v>
      </c>
      <c r="K100" s="2" t="s">
        <v>100</v>
      </c>
      <c r="L100" s="2">
        <f t="shared" si="7"/>
        <v>4627.5</v>
      </c>
      <c r="M100" s="2" t="str">
        <f t="shared" si="8"/>
        <v>Low</v>
      </c>
      <c r="N100" s="2">
        <f t="shared" si="6"/>
        <v>17.350000000000001</v>
      </c>
    </row>
    <row r="101" spans="1:14" x14ac:dyDescent="0.3">
      <c r="A101" s="2" t="s">
        <v>342</v>
      </c>
      <c r="B101" s="2" t="s">
        <v>247</v>
      </c>
      <c r="C101" s="2" t="s">
        <v>229</v>
      </c>
      <c r="D101" s="2" t="s">
        <v>252</v>
      </c>
      <c r="E101" s="2">
        <v>9942075195</v>
      </c>
      <c r="F101" s="2" t="s">
        <v>231</v>
      </c>
      <c r="G101" s="2" t="s">
        <v>120</v>
      </c>
      <c r="H101" s="2">
        <v>1853.37</v>
      </c>
      <c r="I101" s="2">
        <v>5</v>
      </c>
      <c r="J101" s="2">
        <v>1661.2</v>
      </c>
      <c r="K101" s="2" t="s">
        <v>100</v>
      </c>
      <c r="L101" s="2">
        <f t="shared" si="7"/>
        <v>9266.8499999999985</v>
      </c>
      <c r="M101" s="2" t="str">
        <f t="shared" si="8"/>
        <v>Low</v>
      </c>
      <c r="N101" s="2">
        <f t="shared" si="6"/>
        <v>17.93</v>
      </c>
    </row>
    <row r="102" spans="1:14" x14ac:dyDescent="0.3">
      <c r="A102" s="2" t="s">
        <v>343</v>
      </c>
      <c r="B102" s="2" t="s">
        <v>238</v>
      </c>
      <c r="C102" s="2" t="s">
        <v>229</v>
      </c>
      <c r="D102" s="2" t="s">
        <v>256</v>
      </c>
      <c r="E102" s="2">
        <v>9857569233</v>
      </c>
      <c r="F102" s="2" t="s">
        <v>231</v>
      </c>
      <c r="G102" s="2" t="s">
        <v>265</v>
      </c>
      <c r="H102" s="2">
        <v>2501.48</v>
      </c>
      <c r="I102" s="2">
        <v>6</v>
      </c>
      <c r="J102" s="2">
        <v>4142.5200000000004</v>
      </c>
      <c r="K102" s="2" t="s">
        <v>236</v>
      </c>
      <c r="L102" s="2">
        <f t="shared" si="7"/>
        <v>15008.880000000001</v>
      </c>
      <c r="M102" s="2" t="str">
        <f t="shared" si="8"/>
        <v>Medium</v>
      </c>
      <c r="N102" s="2">
        <f t="shared" si="6"/>
        <v>27.6</v>
      </c>
    </row>
    <row r="103" spans="1:14" x14ac:dyDescent="0.3">
      <c r="A103" s="2" t="s">
        <v>344</v>
      </c>
      <c r="B103" s="2" t="s">
        <v>238</v>
      </c>
      <c r="C103" s="2" t="s">
        <v>229</v>
      </c>
      <c r="D103" s="2" t="s">
        <v>230</v>
      </c>
      <c r="E103" s="2">
        <v>9944969047</v>
      </c>
      <c r="F103" s="2" t="s">
        <v>98</v>
      </c>
      <c r="G103" s="2" t="s">
        <v>115</v>
      </c>
      <c r="H103" s="2">
        <v>2596.13</v>
      </c>
      <c r="I103" s="2">
        <v>5</v>
      </c>
      <c r="J103" s="2">
        <v>1453.33</v>
      </c>
      <c r="K103" s="2" t="s">
        <v>236</v>
      </c>
      <c r="L103" s="2">
        <f t="shared" si="7"/>
        <v>12980.650000000001</v>
      </c>
      <c r="M103" s="2" t="str">
        <f t="shared" si="8"/>
        <v>Medium</v>
      </c>
      <c r="N103" s="2">
        <f t="shared" si="6"/>
        <v>11.2</v>
      </c>
    </row>
    <row r="104" spans="1:14" x14ac:dyDescent="0.3">
      <c r="A104" s="2" t="s">
        <v>345</v>
      </c>
      <c r="B104" s="2" t="s">
        <v>228</v>
      </c>
      <c r="C104" s="2" t="s">
        <v>229</v>
      </c>
      <c r="D104" s="2" t="s">
        <v>239</v>
      </c>
      <c r="E104" s="2">
        <v>56428436</v>
      </c>
      <c r="F104" s="2" t="s">
        <v>98</v>
      </c>
      <c r="G104" s="2" t="s">
        <v>128</v>
      </c>
      <c r="H104" s="2">
        <v>2209.52</v>
      </c>
      <c r="I104" s="2">
        <v>6</v>
      </c>
      <c r="J104" s="2">
        <v>3760.49</v>
      </c>
      <c r="K104" s="2" t="s">
        <v>236</v>
      </c>
      <c r="L104" s="2">
        <f t="shared" si="7"/>
        <v>13257.119999999999</v>
      </c>
      <c r="M104" s="2" t="str">
        <f t="shared" si="8"/>
        <v>Medium</v>
      </c>
      <c r="N104" s="2">
        <f t="shared" si="6"/>
        <v>28.37</v>
      </c>
    </row>
    <row r="105" spans="1:14" x14ac:dyDescent="0.3">
      <c r="A105" s="2" t="s">
        <v>346</v>
      </c>
      <c r="B105" s="2" t="s">
        <v>247</v>
      </c>
      <c r="C105" s="2" t="s">
        <v>229</v>
      </c>
      <c r="D105" s="2" t="s">
        <v>254</v>
      </c>
      <c r="E105" s="2">
        <v>9705241364</v>
      </c>
      <c r="F105" s="2" t="s">
        <v>234</v>
      </c>
      <c r="G105" s="2" t="s">
        <v>242</v>
      </c>
      <c r="H105" s="2">
        <v>458.7</v>
      </c>
      <c r="I105" s="2">
        <v>7</v>
      </c>
      <c r="J105" s="2">
        <v>839.97</v>
      </c>
      <c r="K105" s="2" t="s">
        <v>236</v>
      </c>
      <c r="L105" s="2">
        <f t="shared" si="7"/>
        <v>3210.9</v>
      </c>
      <c r="M105" s="2" t="str">
        <f t="shared" si="8"/>
        <v>Low</v>
      </c>
      <c r="N105" s="2">
        <f t="shared" si="6"/>
        <v>26.16</v>
      </c>
    </row>
    <row r="106" spans="1:14" x14ac:dyDescent="0.3">
      <c r="A106" s="2" t="s">
        <v>347</v>
      </c>
      <c r="B106" s="2" t="s">
        <v>247</v>
      </c>
      <c r="C106" s="2" t="s">
        <v>229</v>
      </c>
      <c r="D106" s="2" t="s">
        <v>230</v>
      </c>
      <c r="E106" s="2">
        <v>9245776255</v>
      </c>
      <c r="F106" s="2" t="s">
        <v>231</v>
      </c>
      <c r="G106" s="2" t="s">
        <v>112</v>
      </c>
      <c r="H106" s="2">
        <v>833.16</v>
      </c>
      <c r="I106" s="2">
        <v>12</v>
      </c>
      <c r="J106" s="2">
        <v>2135.63</v>
      </c>
      <c r="K106" s="2" t="s">
        <v>236</v>
      </c>
      <c r="L106" s="2">
        <f t="shared" si="7"/>
        <v>9997.92</v>
      </c>
      <c r="M106" s="2" t="str">
        <f t="shared" si="8"/>
        <v>Low</v>
      </c>
      <c r="N106" s="2">
        <f t="shared" si="6"/>
        <v>21.36</v>
      </c>
    </row>
    <row r="107" spans="1:14" x14ac:dyDescent="0.3">
      <c r="A107" s="2" t="s">
        <v>348</v>
      </c>
      <c r="B107" s="2" t="s">
        <v>247</v>
      </c>
      <c r="C107" s="2" t="s">
        <v>229</v>
      </c>
      <c r="D107" s="2" t="s">
        <v>268</v>
      </c>
      <c r="E107" s="2">
        <v>9881212856</v>
      </c>
      <c r="F107" s="2" t="s">
        <v>231</v>
      </c>
      <c r="G107" s="2" t="s">
        <v>112</v>
      </c>
      <c r="H107" s="2">
        <v>238.37</v>
      </c>
      <c r="I107" s="2">
        <v>13</v>
      </c>
      <c r="J107" s="2">
        <v>586.94000000000005</v>
      </c>
      <c r="K107" s="2" t="s">
        <v>236</v>
      </c>
      <c r="L107" s="2">
        <f t="shared" si="7"/>
        <v>3098.81</v>
      </c>
      <c r="M107" s="2" t="str">
        <f t="shared" si="8"/>
        <v>Low</v>
      </c>
      <c r="N107" s="2">
        <f t="shared" si="6"/>
        <v>18.940000000000001</v>
      </c>
    </row>
    <row r="108" spans="1:14" x14ac:dyDescent="0.3">
      <c r="A108" s="2" t="s">
        <v>349</v>
      </c>
      <c r="B108" s="2" t="s">
        <v>228</v>
      </c>
      <c r="C108" s="2" t="s">
        <v>229</v>
      </c>
      <c r="D108" s="2" t="s">
        <v>254</v>
      </c>
      <c r="E108" s="2">
        <v>9916091858</v>
      </c>
      <c r="F108" s="2" t="s">
        <v>231</v>
      </c>
      <c r="G108" s="2" t="s">
        <v>120</v>
      </c>
      <c r="H108" s="2">
        <v>820.05</v>
      </c>
      <c r="I108" s="2">
        <v>3</v>
      </c>
      <c r="J108" s="2">
        <v>419.41</v>
      </c>
      <c r="K108" s="2" t="s">
        <v>116</v>
      </c>
      <c r="L108" s="2">
        <f t="shared" si="7"/>
        <v>2460.1499999999996</v>
      </c>
      <c r="M108" s="2" t="str">
        <f t="shared" si="8"/>
        <v>Low</v>
      </c>
      <c r="N108" s="2">
        <f t="shared" si="6"/>
        <v>17.05</v>
      </c>
    </row>
    <row r="109" spans="1:14" x14ac:dyDescent="0.3">
      <c r="A109" s="2" t="s">
        <v>350</v>
      </c>
      <c r="B109" s="2" t="s">
        <v>259</v>
      </c>
      <c r="C109" s="2" t="s">
        <v>229</v>
      </c>
      <c r="D109" s="2" t="s">
        <v>230</v>
      </c>
      <c r="E109" s="2">
        <v>9425191872</v>
      </c>
      <c r="F109" s="2" t="s">
        <v>98</v>
      </c>
      <c r="G109" s="2" t="s">
        <v>128</v>
      </c>
      <c r="H109" s="2">
        <v>2716.33</v>
      </c>
      <c r="I109" s="2">
        <v>8</v>
      </c>
      <c r="J109" s="2">
        <v>5513.14</v>
      </c>
      <c r="K109" s="2" t="s">
        <v>236</v>
      </c>
      <c r="L109" s="2">
        <f t="shared" si="7"/>
        <v>21730.639999999999</v>
      </c>
      <c r="M109" s="2" t="str">
        <f t="shared" si="8"/>
        <v>High</v>
      </c>
      <c r="N109" s="2">
        <f t="shared" si="6"/>
        <v>25.37</v>
      </c>
    </row>
    <row r="110" spans="1:14" x14ac:dyDescent="0.3">
      <c r="A110" s="2" t="s">
        <v>351</v>
      </c>
      <c r="B110" s="2" t="s">
        <v>259</v>
      </c>
      <c r="C110" s="2" t="s">
        <v>229</v>
      </c>
      <c r="D110" s="2" t="s">
        <v>268</v>
      </c>
      <c r="E110" s="2">
        <v>9459337548</v>
      </c>
      <c r="F110" s="2" t="s">
        <v>231</v>
      </c>
      <c r="G110" s="2" t="s">
        <v>265</v>
      </c>
      <c r="H110" s="2">
        <v>1918.81</v>
      </c>
      <c r="I110" s="2">
        <v>1</v>
      </c>
      <c r="J110" s="2">
        <v>442.75</v>
      </c>
      <c r="K110" s="2" t="s">
        <v>243</v>
      </c>
      <c r="L110" s="2">
        <f t="shared" si="7"/>
        <v>1918.81</v>
      </c>
      <c r="M110" s="2" t="str">
        <f t="shared" si="8"/>
        <v>Low</v>
      </c>
      <c r="N110" s="2">
        <f t="shared" si="6"/>
        <v>23.07</v>
      </c>
    </row>
  </sheetData>
  <mergeCells count="8">
    <mergeCell ref="A7:XFD7"/>
    <mergeCell ref="A8:XFD8"/>
    <mergeCell ref="A1:XFD1"/>
    <mergeCell ref="A2:XFD2"/>
    <mergeCell ref="A3:XFD3"/>
    <mergeCell ref="A4:XFD4"/>
    <mergeCell ref="A5:XFD5"/>
    <mergeCell ref="A6:XFD6"/>
  </mergeCells>
  <conditionalFormatting sqref="J11:J110">
    <cfRule type="cellIs" dxfId="1" priority="2" operator="greaterThan">
      <formula>5000</formula>
    </cfRule>
  </conditionalFormatting>
  <conditionalFormatting sqref="E11:E110">
    <cfRule type="expression" dxfId="0" priority="1">
      <formula>LEN(E11)&lt;&gt;10</formula>
    </cfRule>
  </conditionalFormatting>
  <dataValidations count="1">
    <dataValidation type="whole" allowBlank="1" showInputMessage="1" showErrorMessage="1" sqref="I9:I1048576" xr:uid="{BFC6779E-C748-4EB4-A266-6B5332F65CD4}">
      <formula1>1</formula1>
      <formula2>20</formula2>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Ques 6</vt:lpstr>
      <vt:lpstr>Ques 7</vt:lpstr>
      <vt:lpstr>Ques 8</vt:lpstr>
      <vt:lpstr>Ques 9</vt:lpstr>
      <vt:lpstr>Ques 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snehalavhate02@gmail.com</dc:creator>
  <cp:lastModifiedBy>snehalavhate02@gmail.com</cp:lastModifiedBy>
  <cp:lastPrinted>2026-01-06T07:27:05Z</cp:lastPrinted>
  <dcterms:created xsi:type="dcterms:W3CDTF">2026-01-04T12:29:55Z</dcterms:created>
  <dcterms:modified xsi:type="dcterms:W3CDTF">2026-01-06T07:36:12Z</dcterms:modified>
</cp:coreProperties>
</file>